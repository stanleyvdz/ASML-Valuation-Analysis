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nl\Documents\GitHub\ASML-Valuation-Analysis\models\"/>
    </mc:Choice>
  </mc:AlternateContent>
  <xr:revisionPtr revIDLastSave="0" documentId="13_ncr:1_{34CEE255-6C92-4339-AACB-68416C0E86F8}" xr6:coauthVersionLast="47" xr6:coauthVersionMax="47" xr10:uidLastSave="{00000000-0000-0000-0000-000000000000}"/>
  <bookViews>
    <workbookView xWindow="-98" yWindow="-98" windowWidth="21795" windowHeight="13875" xr2:uid="{0E1D7E96-0F84-456B-9CDE-CD2F006244C8}"/>
  </bookViews>
  <sheets>
    <sheet name="Executive Summary" sheetId="7" r:id="rId1"/>
    <sheet name="Historical Financials" sheetId="1" r:id="rId2"/>
    <sheet name="DCF Calculation" sheetId="3" r:id="rId3"/>
    <sheet name="Projections" sheetId="10" r:id="rId4"/>
    <sheet name="WACC" sheetId="4" r:id="rId5"/>
    <sheet name="Comparables" sheetId="5" r:id="rId6"/>
    <sheet name="Sensitivity" sheetId="6" r:id="rId7"/>
    <sheet name="Data &amp; Sources" sheetId="2" r:id="rId8"/>
  </sheets>
  <definedNames>
    <definedName name="ExternalData_1" localSheetId="1" hidden="1">'Historical Financials'!$A$75:$F$120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7" l="1"/>
  <c r="B32" i="7"/>
  <c r="B29" i="7"/>
  <c r="B31" i="7"/>
  <c r="B30" i="7"/>
  <c r="B28" i="7"/>
  <c r="B27" i="7"/>
  <c r="B19" i="7"/>
  <c r="B17" i="7"/>
  <c r="B16" i="7"/>
  <c r="B15" i="7"/>
  <c r="B11" i="7"/>
  <c r="B10" i="7"/>
  <c r="B20" i="7" s="1"/>
  <c r="B9" i="7"/>
  <c r="B8" i="7"/>
  <c r="B7" i="7"/>
  <c r="B6" i="7"/>
  <c r="P7" i="6"/>
  <c r="P6" i="6"/>
  <c r="B19" i="2"/>
  <c r="D3" i="3"/>
  <c r="C8" i="3" s="1"/>
  <c r="D8" i="3" s="1"/>
  <c r="C27" i="4"/>
  <c r="C28" i="4"/>
  <c r="C23" i="5"/>
  <c r="C18" i="5"/>
  <c r="C12" i="5"/>
  <c r="D12" i="5"/>
  <c r="E12" i="5"/>
  <c r="F12" i="5"/>
  <c r="G12" i="5"/>
  <c r="H12" i="5"/>
  <c r="C11" i="5"/>
  <c r="C19" i="5" s="1"/>
  <c r="C20" i="5" s="1"/>
  <c r="C21" i="5" s="1"/>
  <c r="C24" i="5" s="1"/>
  <c r="D11" i="5"/>
  <c r="D14" i="5" s="1"/>
  <c r="E11" i="5"/>
  <c r="E14" i="5" s="1"/>
  <c r="F11" i="5"/>
  <c r="F14" i="5" s="1"/>
  <c r="G11" i="5"/>
  <c r="G14" i="5" s="1"/>
  <c r="H11" i="5"/>
  <c r="H14" i="5" s="1"/>
  <c r="B12" i="5"/>
  <c r="B11" i="5"/>
  <c r="B14" i="5" s="1"/>
  <c r="C19" i="4"/>
  <c r="C22" i="4" s="1"/>
  <c r="C11" i="4"/>
  <c r="D35" i="3"/>
  <c r="D34" i="3"/>
  <c r="D21" i="3"/>
  <c r="B43" i="10"/>
  <c r="B41" i="10"/>
  <c r="B40" i="10"/>
  <c r="K43" i="10"/>
  <c r="B8" i="3"/>
  <c r="B7" i="3"/>
  <c r="B10" i="3"/>
  <c r="B11" i="3"/>
  <c r="B12" i="3"/>
  <c r="B13" i="3"/>
  <c r="B14" i="3"/>
  <c r="B9" i="3"/>
  <c r="B6" i="3"/>
  <c r="B5" i="3"/>
  <c r="A6" i="3"/>
  <c r="A7" i="3" s="1"/>
  <c r="A8" i="3" s="1"/>
  <c r="A9" i="3" s="1"/>
  <c r="A10" i="3" s="1"/>
  <c r="A11" i="3" s="1"/>
  <c r="A12" i="3" s="1"/>
  <c r="A13" i="3" s="1"/>
  <c r="A14" i="3" s="1"/>
  <c r="B49" i="10"/>
  <c r="B48" i="10"/>
  <c r="B47" i="10"/>
  <c r="B39" i="10"/>
  <c r="I12" i="1"/>
  <c r="I11" i="1" a="1"/>
  <c r="I11" i="1" s="1"/>
  <c r="I10" i="1"/>
  <c r="I9" i="1" a="1"/>
  <c r="I9" i="1" s="1"/>
  <c r="B21" i="10"/>
  <c r="B38" i="10" s="1"/>
  <c r="C36" i="1"/>
  <c r="D36" i="1"/>
  <c r="E36" i="1"/>
  <c r="F36" i="1"/>
  <c r="B36" i="1"/>
  <c r="D34" i="1"/>
  <c r="E34" i="1"/>
  <c r="F34" i="1"/>
  <c r="C33" i="1"/>
  <c r="D33" i="1"/>
  <c r="E33" i="1"/>
  <c r="F33" i="1"/>
  <c r="C32" i="1"/>
  <c r="D32" i="1"/>
  <c r="E32" i="1"/>
  <c r="F32" i="1"/>
  <c r="B33" i="1"/>
  <c r="C31" i="1"/>
  <c r="D31" i="1"/>
  <c r="E31" i="1"/>
  <c r="F31" i="1"/>
  <c r="B32" i="1"/>
  <c r="C34" i="1"/>
  <c r="B31" i="1"/>
  <c r="C25" i="5" l="1"/>
  <c r="C6" i="3"/>
  <c r="D6" i="3" s="1"/>
  <c r="C7" i="3"/>
  <c r="D7" i="3" s="1"/>
  <c r="C10" i="3"/>
  <c r="D10" i="3" s="1"/>
  <c r="C9" i="3"/>
  <c r="D9" i="3" s="1"/>
  <c r="C5" i="3"/>
  <c r="D5" i="3" s="1"/>
  <c r="C14" i="3"/>
  <c r="D14" i="3" s="1"/>
  <c r="C13" i="3"/>
  <c r="D13" i="3" s="1"/>
  <c r="C12" i="3"/>
  <c r="D12" i="3" s="1"/>
  <c r="D22" i="3"/>
  <c r="C11" i="3"/>
  <c r="D11" i="3" s="1"/>
  <c r="C30" i="4"/>
  <c r="C5" i="5" s="1"/>
  <c r="C14" i="5" s="1"/>
  <c r="B25" i="10"/>
  <c r="B28" i="10" s="1"/>
  <c r="B26" i="10"/>
  <c r="C21" i="10"/>
  <c r="D21" i="10"/>
  <c r="B22" i="10"/>
  <c r="B23" i="10" s="1"/>
  <c r="C22" i="10"/>
  <c r="C23" i="10" s="1"/>
  <c r="C32" i="4" l="1"/>
  <c r="C33" i="4"/>
  <c r="D16" i="3"/>
  <c r="D27" i="3" s="1"/>
  <c r="D23" i="3"/>
  <c r="D28" i="3" s="1"/>
  <c r="B30" i="10"/>
  <c r="D38" i="10"/>
  <c r="D25" i="10"/>
  <c r="D28" i="10" s="1"/>
  <c r="D26" i="10"/>
  <c r="D40" i="10"/>
  <c r="D41" i="10" s="1"/>
  <c r="D39" i="10"/>
  <c r="C25" i="10"/>
  <c r="C26" i="10"/>
  <c r="C40" i="10"/>
  <c r="C41" i="10" s="1"/>
  <c r="C39" i="10"/>
  <c r="C38" i="10"/>
  <c r="E21" i="10"/>
  <c r="D22" i="10"/>
  <c r="D23" i="10" s="1"/>
  <c r="D30" i="10" s="1"/>
  <c r="D29" i="3" l="1"/>
  <c r="D32" i="3" s="1"/>
  <c r="D36" i="3" s="1"/>
  <c r="D40" i="3" s="1"/>
  <c r="D32" i="10"/>
  <c r="D34" i="10" s="1"/>
  <c r="D43" i="10" s="1"/>
  <c r="E38" i="10"/>
  <c r="E39" i="10"/>
  <c r="E25" i="10"/>
  <c r="E26" i="10"/>
  <c r="E40" i="10"/>
  <c r="E41" i="10" s="1"/>
  <c r="C28" i="10"/>
  <c r="C30" i="10" s="1"/>
  <c r="B32" i="10"/>
  <c r="B34" i="10" s="1"/>
  <c r="F21" i="10"/>
  <c r="E22" i="10"/>
  <c r="E23" i="10" s="1"/>
  <c r="D43" i="3" l="1"/>
  <c r="B21" i="7" s="1"/>
  <c r="B23" i="7" s="1"/>
  <c r="C32" i="10"/>
  <c r="C34" i="10" s="1"/>
  <c r="C43" i="10" s="1"/>
  <c r="E28" i="10"/>
  <c r="F39" i="10"/>
  <c r="F38" i="10"/>
  <c r="F40" i="10"/>
  <c r="F41" i="10" s="1"/>
  <c r="F25" i="10"/>
  <c r="F26" i="10"/>
  <c r="E30" i="10"/>
  <c r="G21" i="10"/>
  <c r="F22" i="10"/>
  <c r="F23" i="10" s="1"/>
  <c r="F28" i="10" l="1"/>
  <c r="F30" i="10" s="1"/>
  <c r="G40" i="10"/>
  <c r="G41" i="10" s="1"/>
  <c r="G39" i="10"/>
  <c r="G38" i="10"/>
  <c r="G25" i="10"/>
  <c r="G26" i="10"/>
  <c r="E34" i="10"/>
  <c r="E43" i="10" s="1"/>
  <c r="E32" i="10"/>
  <c r="H21" i="10"/>
  <c r="G22" i="10"/>
  <c r="G23" i="10" s="1"/>
  <c r="F34" i="10" l="1"/>
  <c r="F43" i="10" s="1"/>
  <c r="F32" i="10"/>
  <c r="G28" i="10"/>
  <c r="G30" i="10"/>
  <c r="H40" i="10"/>
  <c r="H41" i="10" s="1"/>
  <c r="H25" i="10"/>
  <c r="H26" i="10"/>
  <c r="H39" i="10"/>
  <c r="H38" i="10"/>
  <c r="I21" i="10"/>
  <c r="H22" i="10"/>
  <c r="H23" i="10"/>
  <c r="H28" i="10" l="1"/>
  <c r="H30" i="10"/>
  <c r="G32" i="10"/>
  <c r="G34" i="10"/>
  <c r="G43" i="10" s="1"/>
  <c r="I26" i="10"/>
  <c r="I40" i="10"/>
  <c r="I41" i="10" s="1"/>
  <c r="I39" i="10"/>
  <c r="I38" i="10"/>
  <c r="I25" i="10"/>
  <c r="J21" i="10"/>
  <c r="I22" i="10"/>
  <c r="I23" i="10" s="1"/>
  <c r="J25" i="10" l="1"/>
  <c r="J26" i="10"/>
  <c r="J40" i="10"/>
  <c r="J41" i="10" s="1"/>
  <c r="J39" i="10"/>
  <c r="J38" i="10"/>
  <c r="H32" i="10"/>
  <c r="H34" i="10"/>
  <c r="H43" i="10" s="1"/>
  <c r="I28" i="10"/>
  <c r="I30" i="10" s="1"/>
  <c r="J22" i="10"/>
  <c r="J23" i="10" s="1"/>
  <c r="K21" i="10"/>
  <c r="I32" i="10" l="1"/>
  <c r="I34" i="10" s="1"/>
  <c r="I43" i="10" s="1"/>
  <c r="K25" i="10"/>
  <c r="K38" i="10"/>
  <c r="K26" i="10"/>
  <c r="K40" i="10"/>
  <c r="K41" i="10" s="1"/>
  <c r="K39" i="10"/>
  <c r="J30" i="10"/>
  <c r="J28" i="10"/>
  <c r="K22" i="10"/>
  <c r="K23" i="10" s="1"/>
  <c r="J32" i="10" l="1"/>
  <c r="J34" i="10" s="1"/>
  <c r="J43" i="10" s="1"/>
  <c r="K28" i="10"/>
  <c r="K30" i="10" s="1"/>
  <c r="K32" i="10" l="1"/>
  <c r="K34" i="1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A06B68-10E9-4D63-849E-B79BD4BD5EFC}" keepAlive="1" name="Query - asml_balance" description="Connection to the 'asml_balance' query in the workbook." type="5" refreshedVersion="0" background="1">
    <dbPr connection="Provider=Microsoft.Mashup.OleDb.1;Data Source=$Workbook$;Location=asml_balance;Extended Properties=&quot;&quot;" command="SELECT * FROM [asml_balance]"/>
  </connection>
  <connection id="2" xr16:uid="{776B0F1C-91E2-42EB-9AFB-4560CCDB489E}" keepAlive="1" name="Query - asml_income" description="Connection to the 'asml_income' query in the workbook." type="5" refreshedVersion="8" background="1" saveData="1">
    <dbPr connection="Provider=Microsoft.Mashup.OleDb.1;Data Source=$Workbook$;Location=asml_income;Extended Properties=&quot;&quot;" command="SELECT * FROM [asml_income]"/>
  </connection>
  <connection id="3" xr16:uid="{B395D9EB-EBBC-48A9-AB40-AE9C4240F268}" keepAlive="1" name="Query - asml_income (2)" description="Connection to the 'asml_income (2)' query in the workbook." type="5" refreshedVersion="0" background="1">
    <dbPr connection="Provider=Microsoft.Mashup.OleDb.1;Data Source=$Workbook$;Location=&quot;asml_income (2)&quot;;Extended Properties=&quot;&quot;" command="SELECT * FROM [asml_income (2)]"/>
  </connection>
  <connection id="4" xr16:uid="{E9097C8B-621A-4EE0-8765-602A8BFE3EAE}" keepAlive="1" name="Query - asml_income (3)" description="Connection to the 'asml_income (3)' query in the workbook." type="5" refreshedVersion="8" background="1" saveData="1">
    <dbPr connection="Provider=Microsoft.Mashup.OleDb.1;Data Source=$Workbook$;Location=&quot;asml_income (3)&quot;;Extended Properties=&quot;&quot;" command="SELECT * FROM [asml_income (3)]"/>
  </connection>
  <connection id="5" xr16:uid="{FA7940F6-D1F0-412C-B960-6F6694EDF36E}" keepAlive="1" name="Query - asml_income (4)" description="Connection to the 'asml_income (4)' query in the workbook." type="5" refreshedVersion="8" background="1" saveData="1">
    <dbPr connection="Provider=Microsoft.Mashup.OleDb.1;Data Source=$Workbook$;Location=&quot;asml_income (4)&quot;;Extended Properties=&quot;&quot;" command="SELECT * FROM [asml_income (4)]"/>
  </connection>
  <connection id="6" xr16:uid="{7D163208-9289-4464-B625-CD72A9E502DA}" keepAlive="1" name="Query - asml_income (5)" description="Connection to the 'asml_income (5)' query in the workbook." type="5" refreshedVersion="8" background="1" saveData="1">
    <dbPr connection="Provider=Microsoft.Mashup.OleDb.1;Data Source=$Workbook$;Location=&quot;asml_income (5)&quot;;Extended Properties=&quot;&quot;" command="SELECT * FROM [asml_income (5)]"/>
  </connection>
  <connection id="7" xr16:uid="{5CDD7162-A60B-4A93-BCD8-95D381C011EF}" keepAlive="1" name="Query - comparables" description="Connection to the 'comparables' query in the workbook." type="5" refreshedVersion="0" background="1">
    <dbPr connection="Provider=Microsoft.Mashup.OleDb.1;Data Source=$Workbook$;Location=comparables;Extended Properties=&quot;&quot;" command="SELECT * FROM [comparables]"/>
  </connection>
  <connection id="8" xr16:uid="{352532CB-8A4F-4ACD-B9C8-FC5D75FE76DA}" keepAlive="1" name="Query - comparables (2)" description="Connection to the 'comparables (2)' query in the workbook." type="5" refreshedVersion="0" background="1">
    <dbPr connection="Provider=Microsoft.Mashup.OleDb.1;Data Source=$Workbook$;Location=&quot;comparables (2)&quot;;Extended Properties=&quot;&quot;" command="SELECT * FROM [comparables (2)]"/>
  </connection>
  <connection id="9" xr16:uid="{66D571BE-EB4A-4E0D-827D-A08EAAD1218B}" keepAlive="1" name="Query - market_data" description="Connection to the 'market_data' query in the workbook." type="5" refreshedVersion="0" background="1">
    <dbPr connection="Provider=Microsoft.Mashup.OleDb.1;Data Source=$Workbook$;Location=market_data;Extended Properties=&quot;&quot;" command="SELECT * FROM [market_data]"/>
  </connection>
  <connection id="10" xr16:uid="{FD22FB40-8348-48A3-BE21-2DF7F0EFE471}" keepAlive="1" name="Query - market_data (2)" description="Connection to the 'market_data (2)' query in the workbook." type="5" refreshedVersion="0" background="1">
    <dbPr connection="Provider=Microsoft.Mashup.OleDb.1;Data Source=$Workbook$;Location=&quot;market_data (2)&quot;;Extended Properties=&quot;&quot;" command="SELECT * FROM [market_data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<sst xmlns="http://schemas.openxmlformats.org/spreadsheetml/2006/main" count="343" uniqueCount="309">
  <si>
    <t>ASML HOLDING NV - DCF VALUATION ANALYSIS</t>
  </si>
  <si>
    <t>Professional Valuation Model</t>
  </si>
  <si>
    <t>KEY ASSUMPTIONS</t>
  </si>
  <si>
    <t>Assumption</t>
  </si>
  <si>
    <t>Value</t>
  </si>
  <si>
    <t>Revenue CAGR (2024-2028)</t>
  </si>
  <si>
    <t>Terminal Growth Rate</t>
  </si>
  <si>
    <t>WACC</t>
  </si>
  <si>
    <t>Tax Rate</t>
  </si>
  <si>
    <t>Current Stock Price (EUR)</t>
  </si>
  <si>
    <t>Shares Outstanding (millions)</t>
  </si>
  <si>
    <t>VALUATION OUTPUT</t>
  </si>
  <si>
    <t>Metric</t>
  </si>
  <si>
    <t>Enterprise Value (EUR millions)</t>
  </si>
  <si>
    <t>Plus: Cash</t>
  </si>
  <si>
    <t>Less: Debt</t>
  </si>
  <si>
    <t>Equity Value (EUR millions)</t>
  </si>
  <si>
    <t>Value per Share (EUR)</t>
  </si>
  <si>
    <t>Current Price (EUR)</t>
  </si>
  <si>
    <t>RECOMMENDATION:</t>
  </si>
  <si>
    <t>ASML HISTORICAL FINANCIALS (2019-2023)</t>
  </si>
  <si>
    <t>All figures in EUR millions</t>
  </si>
  <si>
    <t>Column1</t>
  </si>
  <si>
    <t>Tax Rate For Calcs</t>
  </si>
  <si>
    <t>Normalized EBITDA</t>
  </si>
  <si>
    <t>Total Unusual Items</t>
  </si>
  <si>
    <t>Total Unusual Items Excluding Goodwill</t>
  </si>
  <si>
    <t>Net Income From Continuing Operation Net Minority Interest</t>
  </si>
  <si>
    <t>Reconciled Depreciation</t>
  </si>
  <si>
    <t>Reconciled Cost Of Revenue</t>
  </si>
  <si>
    <t>EBITDA</t>
  </si>
  <si>
    <t>EBIT</t>
  </si>
  <si>
    <t>Net Interest Income</t>
  </si>
  <si>
    <t>Interest Expense</t>
  </si>
  <si>
    <t>Interest Income</t>
  </si>
  <si>
    <t>Normalized Income</t>
  </si>
  <si>
    <t>Net Income From Continuing And Discontinued Operation</t>
  </si>
  <si>
    <t>Total Expenses</t>
  </si>
  <si>
    <t>Total Operating Income As Reported</t>
  </si>
  <si>
    <t>Diluted Average Shares</t>
  </si>
  <si>
    <t>Basic Average Shares</t>
  </si>
  <si>
    <t>Diluted EPS</t>
  </si>
  <si>
    <t>Basic EPS</t>
  </si>
  <si>
    <t>Diluted NI Availto Com Stockholders</t>
  </si>
  <si>
    <t>Net Income Common Stockholders</t>
  </si>
  <si>
    <t>Net Income</t>
  </si>
  <si>
    <t>Net Income Including Noncontrolling Interests</t>
  </si>
  <si>
    <t>Net Income Continuous Operations</t>
  </si>
  <si>
    <t>Earnings From Equity Interest Net Of Tax</t>
  </si>
  <si>
    <t>Tax Provision</t>
  </si>
  <si>
    <t>Pretax Income</t>
  </si>
  <si>
    <t>Other Income Expense</t>
  </si>
  <si>
    <t>Other Non Operating Income Expenses</t>
  </si>
  <si>
    <t>Special Income Charges</t>
  </si>
  <si>
    <t>Gain On Sale Of Business</t>
  </si>
  <si>
    <t>Net Non Operating Interest Income Expense</t>
  </si>
  <si>
    <t>Total Other Finance Cost</t>
  </si>
  <si>
    <t>Interest Expense Non Operating</t>
  </si>
  <si>
    <t>Interest Income Non Operating</t>
  </si>
  <si>
    <t>Operating Income</t>
  </si>
  <si>
    <t>Operating Expense</t>
  </si>
  <si>
    <t>Research And Development</t>
  </si>
  <si>
    <t>Selling General And Administration</t>
  </si>
  <si>
    <t>Gross Profit</t>
  </si>
  <si>
    <t>Cost Of Revenue</t>
  </si>
  <si>
    <t>Total Revenue</t>
  </si>
  <si>
    <t>Operating Revenue</t>
  </si>
  <si>
    <t>31/12/2025</t>
  </si>
  <si>
    <t>31/12/2024</t>
  </si>
  <si>
    <t>31/12/2023</t>
  </si>
  <si>
    <t>31/12/2022</t>
  </si>
  <si>
    <t>31/12/2021</t>
  </si>
  <si>
    <t>Cost of sales</t>
  </si>
  <si>
    <t>Gross profit</t>
  </si>
  <si>
    <t>Research &amp; Development costs</t>
  </si>
  <si>
    <t>Selling, General &amp; Administrative costs</t>
  </si>
  <si>
    <t>Income tax</t>
  </si>
  <si>
    <t>Net income</t>
  </si>
  <si>
    <t>Total assets</t>
  </si>
  <si>
    <t>Property, plant &amp; equipment (net)</t>
  </si>
  <si>
    <t>Cash and cash equivalents</t>
  </si>
  <si>
    <t>Total liabilities</t>
  </si>
  <si>
    <t>Total equity</t>
  </si>
  <si>
    <t>Net cash from operating activities</t>
  </si>
  <si>
    <t>Operating income (EBIT / Income from operations)</t>
  </si>
  <si>
    <t>Shares outstanding (basic, weighted average)</t>
  </si>
  <si>
    <t>Free cash flow (Operating CF – CapEx)</t>
  </si>
  <si>
    <t>Not included</t>
  </si>
  <si>
    <t>Revenue</t>
  </si>
  <si>
    <t>Purchase of property, plant &amp; equipment</t>
  </si>
  <si>
    <t>Net financing income/costs</t>
  </si>
  <si>
    <t>Net Sales</t>
  </si>
  <si>
    <t>CALCULATED METRICS</t>
  </si>
  <si>
    <t>Gross Margin %</t>
  </si>
  <si>
    <t>Operating Margin %</t>
  </si>
  <si>
    <t>Net Margin %</t>
  </si>
  <si>
    <t>Revenue Growth %</t>
  </si>
  <si>
    <t>CASH FLOW STATEMENT</t>
  </si>
  <si>
    <t>Income Statement</t>
  </si>
  <si>
    <t>Balance Sheet</t>
  </si>
  <si>
    <t xml:space="preserve">Cash Flow Statement </t>
  </si>
  <si>
    <t>Free Cash Flow</t>
  </si>
  <si>
    <t>Cash Flow Statement</t>
  </si>
  <si>
    <t>ASML FINANCIAL PROJECTIONS (2024-2033)</t>
  </si>
  <si>
    <t>10-Year Forecast - All figures in EUR millions</t>
  </si>
  <si>
    <t>Line Item</t>
  </si>
  <si>
    <t>2026E</t>
  </si>
  <si>
    <t>2027E</t>
  </si>
  <si>
    <t>2028E</t>
  </si>
  <si>
    <t>2029E</t>
  </si>
  <si>
    <t>2030E</t>
  </si>
  <si>
    <t>2031E</t>
  </si>
  <si>
    <t>2032E</t>
  </si>
  <si>
    <t>2033E</t>
  </si>
  <si>
    <t>2034E</t>
  </si>
  <si>
    <t>2035E</t>
  </si>
  <si>
    <t>GROWTH ASSUMPTIONS</t>
  </si>
  <si>
    <t>Revenue Growth Rate %</t>
  </si>
  <si>
    <t>MARGIN ASSUMPTIONS</t>
  </si>
  <si>
    <t>EBIT Margin %</t>
  </si>
  <si>
    <t>Tax Rate %</t>
  </si>
  <si>
    <t>CAPEX &amp; WORKING CAPITAL ASSUMPTIONS</t>
  </si>
  <si>
    <t>CapEx % of Revenue</t>
  </si>
  <si>
    <t>D&amp;A % of Prior PP&amp;E</t>
  </si>
  <si>
    <t>NWC % of Revenue</t>
  </si>
  <si>
    <t>INCOME STATEMENT PROJECTIONS</t>
  </si>
  <si>
    <t>Cost of Goods Sold (COGS)</t>
  </si>
  <si>
    <t>Research &amp; Development</t>
  </si>
  <si>
    <t>R&amp;D as % of revenue</t>
  </si>
  <si>
    <t>Selling, General &amp; Administrative</t>
  </si>
  <si>
    <t>Total Operating Expenses</t>
  </si>
  <si>
    <t>Operating Income (EBIT)</t>
  </si>
  <si>
    <t>Income Tax Expense</t>
  </si>
  <si>
    <t>Net Operating Profit After Tax (NOPAT)</t>
  </si>
  <si>
    <t>FREE CASH FLOW CALCULATION</t>
  </si>
  <si>
    <t>Depreciation &amp; Amortization (D&amp;A)</t>
  </si>
  <si>
    <t>Capital Expenditures (CapEx)</t>
  </si>
  <si>
    <t>Net Working Capital (NWC)</t>
  </si>
  <si>
    <t>Change in Net Working Capital</t>
  </si>
  <si>
    <t>Unlevered Free Cash Flow (FCF)</t>
  </si>
  <si>
    <t>SUMMARY METRICS</t>
  </si>
  <si>
    <t>Average Annual FCF (Years 1-10)</t>
  </si>
  <si>
    <t>Total FCF (Years 1-10)</t>
  </si>
  <si>
    <t>Revenue CAGR (2024-2033)</t>
  </si>
  <si>
    <t>DISCOUNTED CASH FLOW (DCF) VALUATION</t>
  </si>
  <si>
    <t>Present value of projected free cash flows</t>
  </si>
  <si>
    <t>Year</t>
  </si>
  <si>
    <t>Discount Factor</t>
  </si>
  <si>
    <t>Present Value of FCF</t>
  </si>
  <si>
    <t>Notes</t>
  </si>
  <si>
    <t>WACC:</t>
  </si>
  <si>
    <t>Total PV of Projected FCFs (2024-2033)</t>
  </si>
  <si>
    <t>TERMINAL VALUE CALCULATION</t>
  </si>
  <si>
    <t>Terminal Growth Rate:</t>
  </si>
  <si>
    <t>Terminal Value (2035):</t>
  </si>
  <si>
    <t>Terminal Year FCF (2036):</t>
  </si>
  <si>
    <t>PV of Terminal Value:</t>
  </si>
  <si>
    <t>ENTERPRISE VALUE</t>
  </si>
  <si>
    <t>Sum of PV of FCFs (2024-2033):</t>
  </si>
  <si>
    <t>Plus: PV of Terminal Value:</t>
  </si>
  <si>
    <t>Enterprise Value:</t>
  </si>
  <si>
    <t>EQUITY VALUE CALCULATION</t>
  </si>
  <si>
    <t>Plus: Cash &amp; Cash Equivalents:</t>
  </si>
  <si>
    <t>Less: Total Debt:</t>
  </si>
  <si>
    <t>Equity Value:</t>
  </si>
  <si>
    <t>Shares Outstanding (millions):</t>
  </si>
  <si>
    <t>DCF VALUE PER SHARE (EUR):</t>
  </si>
  <si>
    <t>Current Market Price (EUR):</t>
  </si>
  <si>
    <t>Implied Upside/(Downside):</t>
  </si>
  <si>
    <t>Year 1 FCF discounted to present</t>
  </si>
  <si>
    <t>Year 10 FCF discounted to present</t>
  </si>
  <si>
    <t>Year 11 FCF (first year of perpetuity)</t>
  </si>
  <si>
    <t>TV = FCF / (WACC - g) - perpetuity formula</t>
  </si>
  <si>
    <t>TV discounted to Year 0 (today)</t>
  </si>
  <si>
    <t>Sum of all discounted cash flows</t>
  </si>
  <si>
    <t>Value of equity (after debt/cash adj.)</t>
  </si>
  <si>
    <t>Intrinsic value per share based on DCF</t>
  </si>
  <si>
    <t>WEIGHTED AVERAGE COST OF CAPITAL (WACC)</t>
  </si>
  <si>
    <t>CAPM-based calculation</t>
  </si>
  <si>
    <t>COST OF EQUITY (Re) - CAPM METHOD</t>
  </si>
  <si>
    <t>Risk-Free Rate (Rf):</t>
  </si>
  <si>
    <t>10-Year US Treasury Yield</t>
  </si>
  <si>
    <t>Beta (β):</t>
  </si>
  <si>
    <t>Calculated from 2-year monthly returns</t>
  </si>
  <si>
    <t>Market Risk Premium (Rm - Rf):</t>
  </si>
  <si>
    <t>Historical equity premium</t>
  </si>
  <si>
    <t>Cost of Equity (Re):</t>
  </si>
  <si>
    <t>Re = Rf + β × (Rm - Rf)</t>
  </si>
  <si>
    <t>COST OF DEBT (Rd)</t>
  </si>
  <si>
    <t>Pre-Tax Cost of Debt (Rd):</t>
  </si>
  <si>
    <t>Interest Expense / Total Debt</t>
  </si>
  <si>
    <t>Tax Rate:</t>
  </si>
  <si>
    <t>Netherlands corporate tax</t>
  </si>
  <si>
    <t>After-Tax Cost of Debt (Rd×(1-T)):</t>
  </si>
  <si>
    <t>Rd × (1 - Tax Rate)</t>
  </si>
  <si>
    <t>Market Value of Equity (E):</t>
  </si>
  <si>
    <t>Current Price × Shares Outstanding</t>
  </si>
  <si>
    <t>Market Value of Debt (D):</t>
  </si>
  <si>
    <t>Book value used as proxy</t>
  </si>
  <si>
    <t>Total Value (V = E + D):</t>
  </si>
  <si>
    <t>Weight of Equity (E/V):</t>
  </si>
  <si>
    <t>Weight of Debt (D/V):</t>
  </si>
  <si>
    <t>WEIGHTED AVERAGE COST OF CAPITAL (WACC):</t>
  </si>
  <si>
    <t>WACC = (E/V × Re) + (D/V × Rd × (1-T))</t>
  </si>
  <si>
    <t>COMPARABLE COMPANY ANALYSIS</t>
  </si>
  <si>
    <t>Semiconductor Equipment Manufacturers</t>
  </si>
  <si>
    <t>Company</t>
  </si>
  <si>
    <t>Market Cap ($B)</t>
  </si>
  <si>
    <t>EV/EBITDA</t>
  </si>
  <si>
    <t>P/E Ratio</t>
  </si>
  <si>
    <t>EV/Revenue</t>
  </si>
  <si>
    <t>Gross Margin</t>
  </si>
  <si>
    <t>Beta</t>
  </si>
  <si>
    <t>Revenue Growth</t>
  </si>
  <si>
    <t>ASML</t>
  </si>
  <si>
    <t>Applied Materials</t>
  </si>
  <si>
    <t>KLA Corp</t>
  </si>
  <si>
    <t>LAM Research</t>
  </si>
  <si>
    <t>Peer Median (ex-ASML)</t>
  </si>
  <si>
    <t>Peer Average (ex-ASML)</t>
  </si>
  <si>
    <t>ASML Premium/(Discount) to Median</t>
  </si>
  <si>
    <t>IMPLIED VALUATION AT PEER MULTIPLES</t>
  </si>
  <si>
    <t>ASML EBITDA (EUR millions):</t>
  </si>
  <si>
    <t>EV at Sector Median EV/EBITDA (17.9x):</t>
  </si>
  <si>
    <t>Implied Equity Value:</t>
  </si>
  <si>
    <t>Implied Price Per Share (EUR):</t>
  </si>
  <si>
    <t>ASML Current Price:</t>
  </si>
  <si>
    <t>Implied by Peer Multiples:</t>
  </si>
  <si>
    <t>Premium/(Discount):</t>
  </si>
  <si>
    <t>SENSITIVITY ANALYSIS</t>
  </si>
  <si>
    <t>DCF Value Per Share under different WACC and Terminal Growth scenarios</t>
  </si>
  <si>
    <t>DATA SOURCES &amp; ASSUMPTIONS LOG</t>
  </si>
  <si>
    <t>Source</t>
  </si>
  <si>
    <t>Item</t>
  </si>
  <si>
    <t>15% CAGR</t>
  </si>
  <si>
    <t>Management guidance + Industry analysis</t>
  </si>
  <si>
    <t>10% CAGR</t>
  </si>
  <si>
    <t>Industry maturation assumption</t>
  </si>
  <si>
    <t>5% CAGR</t>
  </si>
  <si>
    <t>Mature growth assumption</t>
  </si>
  <si>
    <t>5-year historical average</t>
  </si>
  <si>
    <t>EBIT Margin</t>
  </si>
  <si>
    <t>Historical average with slight expansion</t>
  </si>
  <si>
    <t>Netherlands corporate tax rate</t>
  </si>
  <si>
    <t>Historical working capital intensity</t>
  </si>
  <si>
    <t>D&amp;A % of Revenue</t>
  </si>
  <si>
    <t>Historical depreciation rate</t>
  </si>
  <si>
    <t>Risk-Free Rate</t>
  </si>
  <si>
    <t>Calculated from 24-month returns vs S&amp;P 500</t>
  </si>
  <si>
    <t>Market Risk Premium</t>
  </si>
  <si>
    <t>Historical equity premium (Damodaran)</t>
  </si>
  <si>
    <t>Cost of Equity</t>
  </si>
  <si>
    <t>CAPM calculation</t>
  </si>
  <si>
    <t>Cost of Debt</t>
  </si>
  <si>
    <t>Interest expense / Total debt</t>
  </si>
  <si>
    <t>Weighted average calculation</t>
  </si>
  <si>
    <t>Terminal Growth</t>
  </si>
  <si>
    <t>Long-term GDP growth assumption</t>
  </si>
  <si>
    <t>Current Stock Price</t>
  </si>
  <si>
    <t>Shares Outstanding</t>
  </si>
  <si>
    <t>Company filings</t>
  </si>
  <si>
    <t>PRIMARY DATA SOURCES</t>
  </si>
  <si>
    <t>Description</t>
  </si>
  <si>
    <t>Yahoo Finance</t>
  </si>
  <si>
    <t>ASML Investor Relations</t>
  </si>
  <si>
    <t>Annual reports, presentations</t>
  </si>
  <si>
    <t>Risk-free rate (10Y Treasury)</t>
  </si>
  <si>
    <t>Damodaran Data</t>
  </si>
  <si>
    <t>Market risk premium</t>
  </si>
  <si>
    <t>FactSet / Bloomberg</t>
  </si>
  <si>
    <t>Model Created</t>
  </si>
  <si>
    <t>Model Version</t>
  </si>
  <si>
    <t>Created By</t>
  </si>
  <si>
    <t>Last Updated</t>
  </si>
  <si>
    <t>Purpose</t>
  </si>
  <si>
    <t>Model Info</t>
  </si>
  <si>
    <t>Internship applications</t>
  </si>
  <si>
    <t>Stanley Vanderzypen</t>
  </si>
  <si>
    <t xml:space="preserve">Comparable company data </t>
  </si>
  <si>
    <t xml:space="preserve">Federal Reserve </t>
  </si>
  <si>
    <t>ASML Annual Report 2025 via yfinance</t>
  </si>
  <si>
    <t>2025 Revenue</t>
  </si>
  <si>
    <t>Revenue Growth (2026-2030)</t>
  </si>
  <si>
    <t>Revenue Growth (2030-2032)</t>
  </si>
  <si>
    <t>Revenue Growth (2032-2035)</t>
  </si>
  <si>
    <t>Yahoo Finance as of February 2026</t>
  </si>
  <si>
    <t>10-Year US Treasury as of February 2026</t>
  </si>
  <si>
    <t>338M</t>
  </si>
  <si>
    <t>Historical financials</t>
  </si>
  <si>
    <t>€32,667M</t>
  </si>
  <si>
    <t>Green = Undervalued | Red = Overvalued</t>
  </si>
  <si>
    <t>KEY INSIGHTS FROM SENSITIVITY ANALYSIS</t>
  </si>
  <si>
    <t>Interest Expense (2025):</t>
  </si>
  <si>
    <t>Total Debt (2025):</t>
  </si>
  <si>
    <t>Short-term + Long-term (from Q4 2025 US GAAP financial statements)</t>
  </si>
  <si>
    <t>From Historical Financials (from Q4 2025 US GAAP financial statements)</t>
  </si>
  <si>
    <t>CAPITAL STRUCTURE</t>
  </si>
  <si>
    <t>DCF value per share (EUR):</t>
  </si>
  <si>
    <t>Valuation ranges from €256 (most conservative) to €1018 (most aggressive)</t>
  </si>
  <si>
    <t>Base case (9.5% WACC, 2.5% growth) yields €462 per share</t>
  </si>
  <si>
    <t>WACC is the more sensitive driver</t>
  </si>
  <si>
    <t>Terminal growth less sensitive</t>
  </si>
  <si>
    <t>Upside/Downside %</t>
  </si>
  <si>
    <t>VALUATION BRIDGE</t>
  </si>
  <si>
    <t>PV of FCFs (2024-2033)</t>
  </si>
  <si>
    <t>PV of Terminal Value</t>
  </si>
  <si>
    <t>Enterprise Value</t>
  </si>
  <si>
    <t>Equity Value</t>
  </si>
  <si>
    <t>Current Market Price: €1204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</si>
</sst>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0.0%"/>
    <numFmt numFmtId="166" formatCode="0.000%"/>
    <numFmt numFmtId="167" formatCode="0.0000"/>
    <numFmt numFmtId="168" formatCode="_-[$€-2]\ * #,##0.00_-;\-[$€-2]\ * #,##0.00_-;_-[$€-2]\ * &quot;-&quot;??_-;_-@_-"/>
    <numFmt numFmtId="169" formatCode="[$€-2]\ #,##0;[Red]\-[$€-2]\ #,##0"/>
    <numFmt numFmtId="175" formatCode="#,##0.00\ [$€-1]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3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i/>
      <sz val="9"/>
      <color theme="1" tint="0.499984740745262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4"/>
      <name val="Arial"/>
      <family val="2"/>
    </font>
    <font>
      <i/>
      <sz val="11"/>
      <color theme="1"/>
      <name val="Arial"/>
      <family val="2"/>
    </font>
    <font>
      <b/>
      <i/>
      <sz val="11"/>
      <color theme="1"/>
      <name val="Arial"/>
      <family val="2"/>
    </font>
    <font>
      <i/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9">
    <xf numFmtId="0" fontId="0" fillId="0" borderId="0" xfId="0"/>
    <xf numFmtId="0" fontId="3" fillId="0" borderId="0" xfId="0" applyFont="1"/>
    <xf numFmtId="0" fontId="6" fillId="0" borderId="0" xfId="0" applyFont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3" borderId="1" xfId="0" applyFill="1" applyBorder="1"/>
    <xf numFmtId="0" fontId="3" fillId="4" borderId="0" xfId="0" applyFont="1" applyFill="1" applyAlignment="1">
      <alignment horizontal="center"/>
    </xf>
    <xf numFmtId="0" fontId="7" fillId="0" borderId="0" xfId="0" applyFont="1"/>
    <xf numFmtId="0" fontId="3" fillId="6" borderId="0" xfId="0" applyFont="1" applyFill="1" applyAlignment="1">
      <alignment horizontal="center"/>
    </xf>
    <xf numFmtId="0" fontId="3" fillId="7" borderId="0" xfId="0" applyFont="1" applyFill="1"/>
    <xf numFmtId="0" fontId="0" fillId="7" borderId="0" xfId="0" applyFill="1"/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  <xf numFmtId="3" fontId="0" fillId="0" borderId="0" xfId="0" applyNumberFormat="1"/>
    <xf numFmtId="3" fontId="9" fillId="0" borderId="0" xfId="0" applyNumberFormat="1" applyFont="1" applyAlignment="1">
      <alignment vertical="center" wrapText="1"/>
    </xf>
    <xf numFmtId="0" fontId="9" fillId="0" borderId="0" xfId="0" applyFont="1" applyAlignment="1">
      <alignment vertical="center"/>
    </xf>
    <xf numFmtId="3" fontId="9" fillId="0" borderId="0" xfId="0" applyNumberFormat="1" applyFont="1" applyAlignment="1">
      <alignment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3" fontId="0" fillId="7" borderId="0" xfId="0" applyNumberFormat="1" applyFill="1"/>
    <xf numFmtId="0" fontId="10" fillId="0" borderId="0" xfId="0" applyFont="1" applyAlignment="1">
      <alignment vertical="center" wrapText="1"/>
    </xf>
    <xf numFmtId="0" fontId="11" fillId="0" borderId="0" xfId="0" applyFont="1"/>
    <xf numFmtId="0" fontId="10" fillId="0" borderId="0" xfId="0" applyFont="1" applyAlignment="1">
      <alignment vertical="center"/>
    </xf>
    <xf numFmtId="165" fontId="0" fillId="0" borderId="0" xfId="0" applyNumberFormat="1"/>
    <xf numFmtId="9" fontId="0" fillId="0" borderId="0" xfId="1" applyFont="1"/>
    <xf numFmtId="165" fontId="0" fillId="0" borderId="0" xfId="1" applyNumberFormat="1" applyFont="1"/>
    <xf numFmtId="10" fontId="0" fillId="0" borderId="0" xfId="0" applyNumberFormat="1"/>
    <xf numFmtId="0" fontId="13" fillId="7" borderId="0" xfId="0" applyFont="1" applyFill="1"/>
    <xf numFmtId="0" fontId="14" fillId="0" borderId="0" xfId="0" applyFont="1"/>
    <xf numFmtId="0" fontId="15" fillId="4" borderId="0" xfId="0" applyFont="1" applyFill="1"/>
    <xf numFmtId="0" fontId="13" fillId="0" borderId="0" xfId="0" applyFont="1"/>
    <xf numFmtId="0" fontId="16" fillId="8" borderId="0" xfId="0" applyFont="1" applyFill="1"/>
    <xf numFmtId="0" fontId="17" fillId="8" borderId="0" xfId="0" applyFont="1" applyFill="1"/>
    <xf numFmtId="3" fontId="13" fillId="7" borderId="0" xfId="0" applyNumberFormat="1" applyFont="1" applyFill="1"/>
    <xf numFmtId="0" fontId="13" fillId="4" borderId="0" xfId="0" applyFont="1" applyFill="1"/>
    <xf numFmtId="165" fontId="13" fillId="0" borderId="0" xfId="1" applyNumberFormat="1" applyFont="1"/>
    <xf numFmtId="3" fontId="9" fillId="0" borderId="5" xfId="0" applyNumberFormat="1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2" fillId="6" borderId="0" xfId="0" applyFont="1" applyFill="1" applyAlignment="1">
      <alignment horizontal="center"/>
    </xf>
    <xf numFmtId="0" fontId="0" fillId="3" borderId="0" xfId="0" applyFill="1"/>
    <xf numFmtId="9" fontId="0" fillId="3" borderId="0" xfId="1" applyFont="1" applyFill="1"/>
    <xf numFmtId="0" fontId="2" fillId="6" borderId="0" xfId="0" applyFont="1" applyFill="1" applyAlignment="1">
      <alignment horizontal="left"/>
    </xf>
    <xf numFmtId="14" fontId="2" fillId="6" borderId="3" xfId="0" applyNumberFormat="1" applyFont="1" applyFill="1" applyBorder="1" applyAlignment="1">
      <alignment horizontal="center"/>
    </xf>
    <xf numFmtId="14" fontId="2" fillId="6" borderId="4" xfId="0" applyNumberFormat="1" applyFont="1" applyFill="1" applyBorder="1" applyAlignment="1">
      <alignment horizontal="center"/>
    </xf>
    <xf numFmtId="0" fontId="11" fillId="10" borderId="0" xfId="0" applyFont="1" applyFill="1"/>
    <xf numFmtId="3" fontId="0" fillId="10" borderId="0" xfId="0" applyNumberFormat="1" applyFill="1"/>
    <xf numFmtId="3" fontId="3" fillId="0" borderId="0" xfId="0" applyNumberFormat="1" applyFont="1"/>
    <xf numFmtId="0" fontId="3" fillId="10" borderId="6" xfId="0" applyFont="1" applyFill="1" applyBorder="1"/>
    <xf numFmtId="3" fontId="3" fillId="10" borderId="6" xfId="0" applyNumberFormat="1" applyFont="1" applyFill="1" applyBorder="1"/>
    <xf numFmtId="0" fontId="3" fillId="0" borderId="6" xfId="0" applyFont="1" applyBorder="1"/>
    <xf numFmtId="3" fontId="3" fillId="0" borderId="6" xfId="0" applyNumberFormat="1" applyFont="1" applyBorder="1"/>
    <xf numFmtId="166" fontId="0" fillId="0" borderId="0" xfId="1" applyNumberFormat="1" applyFont="1"/>
    <xf numFmtId="0" fontId="3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0" fontId="17" fillId="6" borderId="0" xfId="0" applyFont="1" applyFill="1" applyAlignment="1">
      <alignment horizontal="center" vertical="center" wrapText="1"/>
    </xf>
    <xf numFmtId="167" fontId="0" fillId="0" borderId="0" xfId="0" applyNumberFormat="1"/>
    <xf numFmtId="1" fontId="0" fillId="0" borderId="0" xfId="0" applyNumberFormat="1"/>
    <xf numFmtId="1" fontId="3" fillId="4" borderId="0" xfId="0" applyNumberFormat="1" applyFont="1" applyFill="1"/>
    <xf numFmtId="0" fontId="0" fillId="11" borderId="0" xfId="0" applyFill="1"/>
    <xf numFmtId="3" fontId="3" fillId="11" borderId="0" xfId="0" applyNumberFormat="1" applyFont="1" applyFill="1"/>
    <xf numFmtId="0" fontId="19" fillId="0" borderId="0" xfId="0" applyFont="1" applyAlignment="1">
      <alignment horizontal="right"/>
    </xf>
    <xf numFmtId="0" fontId="19" fillId="0" borderId="6" xfId="0" applyFont="1" applyBorder="1" applyAlignment="1">
      <alignment horizontal="right"/>
    </xf>
    <xf numFmtId="0" fontId="0" fillId="12" borderId="6" xfId="0" applyFill="1" applyBorder="1"/>
    <xf numFmtId="0" fontId="17" fillId="6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9" borderId="0" xfId="0" applyFont="1" applyFill="1" applyAlignment="1">
      <alignment horizontal="left"/>
    </xf>
    <xf numFmtId="0" fontId="3" fillId="11" borderId="0" xfId="0" applyFont="1" applyFill="1" applyAlignment="1">
      <alignment horizontal="left"/>
    </xf>
    <xf numFmtId="0" fontId="12" fillId="12" borderId="6" xfId="0" applyFont="1" applyFill="1" applyBorder="1" applyAlignment="1">
      <alignment horizontal="left"/>
    </xf>
    <xf numFmtId="0" fontId="12" fillId="9" borderId="0" xfId="0" applyFont="1" applyFill="1" applyAlignment="1">
      <alignment horizontal="center"/>
    </xf>
    <xf numFmtId="9" fontId="3" fillId="11" borderId="0" xfId="1" applyFont="1" applyFill="1"/>
    <xf numFmtId="0" fontId="12" fillId="12" borderId="0" xfId="0" applyFont="1" applyFill="1" applyAlignment="1">
      <alignment horizontal="center"/>
    </xf>
    <xf numFmtId="9" fontId="20" fillId="12" borderId="0" xfId="1" applyFont="1" applyFill="1"/>
    <xf numFmtId="0" fontId="2" fillId="9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9" fontId="9" fillId="0" borderId="0" xfId="0" applyNumberFormat="1" applyFont="1" applyAlignment="1">
      <alignment horizontal="center" vertical="center" wrapText="1"/>
    </xf>
    <xf numFmtId="165" fontId="9" fillId="0" borderId="0" xfId="0" applyNumberFormat="1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0" fontId="3" fillId="13" borderId="0" xfId="0" applyFont="1" applyFill="1"/>
    <xf numFmtId="0" fontId="3" fillId="4" borderId="0" xfId="0" applyFont="1" applyFill="1"/>
    <xf numFmtId="168" fontId="0" fillId="0" borderId="0" xfId="0" applyNumberFormat="1"/>
    <xf numFmtId="168" fontId="6" fillId="12" borderId="6" xfId="0" applyNumberFormat="1" applyFont="1" applyFill="1" applyBorder="1"/>
    <xf numFmtId="0" fontId="2" fillId="9" borderId="0" xfId="0" applyFont="1" applyFill="1"/>
    <xf numFmtId="9" fontId="0" fillId="0" borderId="0" xfId="0" applyNumberFormat="1"/>
    <xf numFmtId="0" fontId="21" fillId="0" borderId="0" xfId="0" applyFont="1"/>
    <xf numFmtId="0" fontId="11" fillId="0" borderId="0" xfId="0" applyFont="1" applyAlignment="1">
      <alignment vertical="center"/>
    </xf>
    <xf numFmtId="0" fontId="0" fillId="0" borderId="0" xfId="0" applyAlignment="1">
      <alignment horizontal="left" vertical="center" wrapText="1"/>
    </xf>
    <xf numFmtId="9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169" fontId="0" fillId="0" borderId="0" xfId="0" applyNumberFormat="1" applyAlignment="1">
      <alignment horizontal="left" vertical="center" wrapText="1"/>
    </xf>
    <xf numFmtId="0" fontId="0" fillId="9" borderId="0" xfId="0" applyFill="1"/>
    <xf numFmtId="14" fontId="0" fillId="0" borderId="0" xfId="0" applyNumberFormat="1" applyAlignment="1">
      <alignment horizontal="left" vertical="center" wrapText="1"/>
    </xf>
    <xf numFmtId="165" fontId="18" fillId="0" borderId="0" xfId="0" applyNumberFormat="1" applyFont="1" applyAlignment="1">
      <alignment horizontal="center" vertical="center" wrapText="1"/>
    </xf>
    <xf numFmtId="165" fontId="18" fillId="0" borderId="0" xfId="0" applyNumberFormat="1" applyFont="1" applyAlignment="1">
      <alignment horizontal="left" vertical="center" wrapText="1"/>
    </xf>
    <xf numFmtId="0" fontId="24" fillId="0" borderId="0" xfId="0" applyFont="1"/>
    <xf numFmtId="0" fontId="25" fillId="0" borderId="0" xfId="0" applyFont="1"/>
    <xf numFmtId="0" fontId="18" fillId="0" borderId="0" xfId="0" applyFont="1"/>
    <xf numFmtId="0" fontId="0" fillId="0" borderId="0" xfId="0" applyAlignment="1">
      <alignment wrapText="1"/>
    </xf>
    <xf numFmtId="10" fontId="3" fillId="0" borderId="0" xfId="1" applyNumberFormat="1" applyFont="1"/>
    <xf numFmtId="3" fontId="13" fillId="0" borderId="0" xfId="0" applyNumberFormat="1" applyFont="1"/>
    <xf numFmtId="3" fontId="13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3" fontId="13" fillId="0" borderId="0" xfId="0" applyNumberFormat="1" applyFont="1" applyAlignment="1">
      <alignment horizontal="right" vertical="center" wrapText="1"/>
    </xf>
    <xf numFmtId="165" fontId="18" fillId="0" borderId="0" xfId="0" applyNumberFormat="1" applyFont="1" applyAlignment="1">
      <alignment horizontal="right" vertical="center" wrapText="1"/>
    </xf>
    <xf numFmtId="3" fontId="18" fillId="0" borderId="0" xfId="0" applyNumberFormat="1" applyFont="1"/>
    <xf numFmtId="9" fontId="0" fillId="3" borderId="1" xfId="0" applyNumberFormat="1" applyFill="1" applyBorder="1"/>
    <xf numFmtId="3" fontId="0" fillId="5" borderId="1" xfId="0" applyNumberFormat="1" applyFill="1" applyBorder="1"/>
    <xf numFmtId="9" fontId="0" fillId="5" borderId="1" xfId="1" applyFont="1" applyFill="1" applyBorder="1"/>
    <xf numFmtId="175" fontId="0" fillId="5" borderId="1" xfId="0" applyNumberFormat="1" applyFont="1" applyFill="1" applyBorder="1"/>
    <xf numFmtId="175" fontId="3" fillId="5" borderId="1" xfId="0" applyNumberFormat="1" applyFont="1" applyFill="1" applyBorder="1"/>
    <xf numFmtId="0" fontId="3" fillId="0" borderId="0" xfId="0" applyFont="1" applyAlignment="1">
      <alignment vertical="center" wrapText="1"/>
    </xf>
    <xf numFmtId="1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2">
    <cellStyle name="Normal" xfId="0" builtinId="0"/>
    <cellStyle name="Percent" xfId="1" builtinId="5"/>
  </cellStyles>
  <dxfs count="8">
    <dxf>
      <numFmt numFmtId="3" formatCode="#,##0"/>
      <fill>
        <patternFill patternType="solid">
          <fgColor indexed="64"/>
          <bgColor theme="0"/>
        </patternFill>
      </fill>
    </dxf>
    <dxf>
      <numFmt numFmtId="3" formatCode="#,##0"/>
      <fill>
        <patternFill patternType="solid">
          <fgColor indexed="64"/>
          <bgColor theme="0"/>
        </patternFill>
      </fill>
    </dxf>
    <dxf>
      <numFmt numFmtId="3" formatCode="#,##0"/>
      <fill>
        <patternFill patternType="solid">
          <fgColor indexed="64"/>
          <bgColor theme="0"/>
        </patternFill>
      </fill>
    </dxf>
    <dxf>
      <numFmt numFmtId="3" formatCode="#,##0"/>
      <fill>
        <patternFill patternType="solid">
          <fgColor indexed="64"/>
          <bgColor theme="0"/>
        </patternFill>
      </fill>
    </dxf>
    <dxf>
      <numFmt numFmtId="3" formatCode="#,##0"/>
      <fill>
        <patternFill patternType="solid">
          <fgColor indexed="64"/>
          <bgColor theme="0"/>
        </patternFill>
      </fill>
    </dxf>
    <dxf>
      <font>
        <b/>
      </font>
      <numFmt numFmtId="0" formatCode="General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/>
      </font>
      <fill>
        <patternFill patternType="solid">
          <fgColor indexed="64"/>
          <bgColor theme="3" tint="9.9978637043366805E-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ASML vs Peers - Valuation Multiples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Comparables!$A$5</c:f>
              <c:strCache>
                <c:ptCount val="1"/>
                <c:pt idx="0">
                  <c:v>ASML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Comparables!$C$4:$E$4</c:f>
              <c:strCache>
                <c:ptCount val="3"/>
                <c:pt idx="0">
                  <c:v>EV/EBITDA</c:v>
                </c:pt>
                <c:pt idx="1">
                  <c:v>P/E Ratio</c:v>
                </c:pt>
                <c:pt idx="2">
                  <c:v>EV/Revenue</c:v>
                </c:pt>
              </c:strCache>
            </c:strRef>
          </c:cat>
          <c:val>
            <c:numRef>
              <c:f>Comparables!$C$5:$E$5</c:f>
              <c:numCache>
                <c:formatCode>0.0</c:formatCode>
                <c:ptCount val="3"/>
                <c:pt idx="0">
                  <c:v>38.131061896649626</c:v>
                </c:pt>
                <c:pt idx="1">
                  <c:v>48.46</c:v>
                </c:pt>
                <c:pt idx="2">
                  <c:v>13.86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B9-4689-AC0C-54C78FEB739B}"/>
            </c:ext>
          </c:extLst>
        </c:ser>
        <c:ser>
          <c:idx val="1"/>
          <c:order val="1"/>
          <c:tx>
            <c:strRef>
              <c:f>Comparables!$A$6</c:f>
              <c:strCache>
                <c:ptCount val="1"/>
                <c:pt idx="0">
                  <c:v>Applied Materials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Comparables!$C$4:$E$4</c:f>
              <c:strCache>
                <c:ptCount val="3"/>
                <c:pt idx="0">
                  <c:v>EV/EBITDA</c:v>
                </c:pt>
                <c:pt idx="1">
                  <c:v>P/E Ratio</c:v>
                </c:pt>
                <c:pt idx="2">
                  <c:v>EV/Revenue</c:v>
                </c:pt>
              </c:strCache>
            </c:strRef>
          </c:cat>
          <c:val>
            <c:numRef>
              <c:f>Comparables!$C$6:$E$6</c:f>
              <c:numCache>
                <c:formatCode>0.0</c:formatCode>
                <c:ptCount val="3"/>
                <c:pt idx="0">
                  <c:v>25.51</c:v>
                </c:pt>
                <c:pt idx="1">
                  <c:v>37.24</c:v>
                </c:pt>
                <c:pt idx="2">
                  <c:v>8.9700000000000006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B9-4689-AC0C-54C78FEB739B}"/>
            </c:ext>
          </c:extLst>
        </c:ser>
        <c:ser>
          <c:idx val="2"/>
          <c:order val="2"/>
          <c:tx>
            <c:strRef>
              <c:f>Comparables!$A$7</c:f>
              <c:strCache>
                <c:ptCount val="1"/>
                <c:pt idx="0">
                  <c:v>LAM Research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Comparables!$C$4:$E$4</c:f>
              <c:strCache>
                <c:ptCount val="3"/>
                <c:pt idx="0">
                  <c:v>EV/EBITDA</c:v>
                </c:pt>
                <c:pt idx="1">
                  <c:v>P/E Ratio</c:v>
                </c:pt>
                <c:pt idx="2">
                  <c:v>EV/Revenue</c:v>
                </c:pt>
              </c:strCache>
            </c:strRef>
          </c:cat>
          <c:val>
            <c:numRef>
              <c:f>Comparables!$C$7:$E$7</c:f>
              <c:numCache>
                <c:formatCode>0.0</c:formatCode>
                <c:ptCount val="3"/>
                <c:pt idx="0">
                  <c:v>37.81</c:v>
                </c:pt>
                <c:pt idx="1">
                  <c:v>47.44</c:v>
                </c:pt>
                <c:pt idx="2">
                  <c:v>13.95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B9-4689-AC0C-54C78FEB739B}"/>
            </c:ext>
          </c:extLst>
        </c:ser>
        <c:ser>
          <c:idx val="3"/>
          <c:order val="3"/>
          <c:tx>
            <c:strRef>
              <c:f>Comparables!$A$8</c:f>
              <c:strCache>
                <c:ptCount val="1"/>
                <c:pt idx="0">
                  <c:v>KLA Corp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Comparables!$C$4:$E$4</c:f>
              <c:strCache>
                <c:ptCount val="3"/>
                <c:pt idx="0">
                  <c:v>EV/EBITDA</c:v>
                </c:pt>
                <c:pt idx="1">
                  <c:v>P/E Ratio</c:v>
                </c:pt>
                <c:pt idx="2">
                  <c:v>EV/Revenue</c:v>
                </c:pt>
              </c:strCache>
            </c:strRef>
          </c:cat>
          <c:val>
            <c:numRef>
              <c:f>Comparables!$C$8:$E$8</c:f>
              <c:numCache>
                <c:formatCode>0.0</c:formatCode>
                <c:ptCount val="3"/>
                <c:pt idx="0">
                  <c:v>32.159999999999997</c:v>
                </c:pt>
                <c:pt idx="1">
                  <c:v>42.01</c:v>
                </c:pt>
                <c:pt idx="2">
                  <c:v>14.91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B9-4689-AC0C-54C78FEB73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218794432"/>
        <c:axId val="1218789632"/>
      </c:barChart>
      <c:catAx>
        <c:axId val="121879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789632"/>
        <c:crosses val="autoZero"/>
        <c:auto val="1"/>
        <c:lblAlgn val="ctr"/>
        <c:lblOffset val="100"/>
        <c:noMultiLvlLbl val="0"/>
      </c:catAx>
      <c:valAx>
        <c:axId val="1218789632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21879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674295</xdr:colOff>
      <xdr:row>1</xdr:row>
      <xdr:rowOff>184374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668CC10-572F-D924-63CA-3A215FE84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74295" cy="4814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752545</xdr:colOff>
      <xdr:row>28</xdr:row>
      <xdr:rowOff>92698</xdr:rowOff>
    </xdr:from>
    <xdr:to>
      <xdr:col>10</xdr:col>
      <xdr:colOff>600358</xdr:colOff>
      <xdr:row>43</xdr:row>
      <xdr:rowOff>123549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7CAB0D-37C6-31B1-500F-5E39479C1B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AFCD3EB1-AECA-4800-A183-E1218F3D472E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31/12/2025" tableColumnId="2"/>
      <queryTableField id="3" name="31/12/2024" tableColumnId="3"/>
      <queryTableField id="4" name="31/12/2023" tableColumnId="4"/>
      <queryTableField id="5" name="31/12/2022" tableColumnId="5"/>
      <queryTableField id="6" name="31/12/2021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7C2B8C0-50BD-496F-88E6-67D449AA28BD}" name="asml_income__5" displayName="asml_income__5" ref="A75:F120" tableType="queryTable" totalsRowShown="0" headerRowDxfId="7" dataDxfId="6">
  <autoFilter ref="A75:F120" xr:uid="{37C2B8C0-50BD-496F-88E6-67D449AA28BD}"/>
  <tableColumns count="6">
    <tableColumn id="1" xr3:uid="{614821E1-1AFD-4A9F-83AA-BE00127402FD}" uniqueName="1" name="Column1" queryTableFieldId="1" dataDxfId="5"/>
    <tableColumn id="2" xr3:uid="{E0001D69-50DF-4404-A318-6BFD943A9988}" uniqueName="2" name="31/12/2025" queryTableFieldId="2" dataDxfId="4"/>
    <tableColumn id="3" xr3:uid="{4FACDF91-603C-4C5D-8472-8454A9E305A1}" uniqueName="3" name="31/12/2024" queryTableFieldId="3" dataDxfId="3"/>
    <tableColumn id="4" xr3:uid="{80B25ABC-595A-4A48-B82F-2C64D0B1D193}" uniqueName="4" name="31/12/2023" queryTableFieldId="4" dataDxfId="2"/>
    <tableColumn id="5" xr3:uid="{6B5B7280-1CA9-4B8D-B88C-B03AC2A13394}" uniqueName="5" name="31/12/2022" queryTableFieldId="5" dataDxfId="1"/>
    <tableColumn id="6" xr3:uid="{A13398AA-53D5-46DA-907B-9A937F9226BD}" uniqueName="6" name="31/12/2021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8ABA9-06C9-4AF3-8E5C-47FDBE8C780A}">
  <dimension ref="A1:H32"/>
  <sheetViews>
    <sheetView showGridLines="0" tabSelected="1" topLeftCell="A2" zoomScale="101" workbookViewId="0">
      <selection activeCell="F15" sqref="F15"/>
    </sheetView>
  </sheetViews>
  <sheetFormatPr defaultRowHeight="14.25" x14ac:dyDescent="0.45"/>
  <cols>
    <col min="1" max="1" width="25.06640625" bestFit="1" customWidth="1"/>
    <col min="2" max="2" width="11.1328125" bestFit="1" customWidth="1"/>
  </cols>
  <sheetData>
    <row r="1" spans="1:8" ht="23.25" x14ac:dyDescent="0.7">
      <c r="A1" s="102" t="s">
        <v>0</v>
      </c>
      <c r="B1" s="102"/>
      <c r="C1" s="102"/>
      <c r="D1" s="102"/>
      <c r="E1" s="102"/>
      <c r="F1" s="102"/>
      <c r="G1" s="102"/>
      <c r="H1" s="102"/>
    </row>
    <row r="2" spans="1:8" ht="15.75" x14ac:dyDescent="0.5">
      <c r="A2" s="103" t="s">
        <v>1</v>
      </c>
      <c r="B2" s="103"/>
      <c r="C2" s="103"/>
      <c r="D2" s="103"/>
      <c r="E2" s="103"/>
      <c r="F2" s="103"/>
      <c r="G2" s="103"/>
      <c r="H2" s="103"/>
    </row>
    <row r="4" spans="1:8" ht="18" x14ac:dyDescent="0.55000000000000004">
      <c r="A4" s="104" t="s">
        <v>2</v>
      </c>
      <c r="B4" s="104"/>
    </row>
    <row r="5" spans="1:8" x14ac:dyDescent="0.45">
      <c r="A5" s="3" t="s">
        <v>3</v>
      </c>
      <c r="B5" s="3" t="s">
        <v>4</v>
      </c>
    </row>
    <row r="6" spans="1:8" x14ac:dyDescent="0.45">
      <c r="A6" s="4" t="s">
        <v>5</v>
      </c>
      <c r="B6" s="5">
        <f>Projections!B49</f>
        <v>9.3967162407239568E-2</v>
      </c>
    </row>
    <row r="7" spans="1:8" x14ac:dyDescent="0.45">
      <c r="A7" s="4" t="s">
        <v>6</v>
      </c>
      <c r="B7" s="5">
        <f>'DCF Calculation'!B20</f>
        <v>2.5000000000000001E-2</v>
      </c>
    </row>
    <row r="8" spans="1:8" x14ac:dyDescent="0.45">
      <c r="A8" s="4" t="s">
        <v>7</v>
      </c>
      <c r="B8" s="111">
        <f>WACC!C36</f>
        <v>9.1742223778499096E-2</v>
      </c>
    </row>
    <row r="9" spans="1:8" x14ac:dyDescent="0.45">
      <c r="A9" s="4" t="s">
        <v>8</v>
      </c>
      <c r="B9" s="111">
        <f>Projections!B12</f>
        <v>0.25</v>
      </c>
    </row>
    <row r="10" spans="1:8" x14ac:dyDescent="0.45">
      <c r="A10" s="4" t="s">
        <v>9</v>
      </c>
      <c r="B10" s="5">
        <f>'DCF Calculation'!D42</f>
        <v>1204</v>
      </c>
    </row>
    <row r="11" spans="1:8" x14ac:dyDescent="0.45">
      <c r="A11" s="4" t="s">
        <v>10</v>
      </c>
      <c r="B11" s="5">
        <f>'DCF Calculation'!D39</f>
        <v>388.15</v>
      </c>
    </row>
    <row r="13" spans="1:8" ht="18" x14ac:dyDescent="0.55000000000000004">
      <c r="A13" s="104" t="s">
        <v>11</v>
      </c>
      <c r="B13" s="104"/>
    </row>
    <row r="14" spans="1:8" x14ac:dyDescent="0.45">
      <c r="A14" s="6" t="s">
        <v>12</v>
      </c>
      <c r="B14" s="6" t="s">
        <v>4</v>
      </c>
    </row>
    <row r="15" spans="1:8" x14ac:dyDescent="0.45">
      <c r="A15" t="s">
        <v>13</v>
      </c>
      <c r="B15" s="112">
        <f>'DCF Calculation'!D29</f>
        <v>208306.21472034295</v>
      </c>
    </row>
    <row r="16" spans="1:8" x14ac:dyDescent="0.45">
      <c r="A16" t="s">
        <v>14</v>
      </c>
      <c r="B16" s="112">
        <f>'DCF Calculation'!D34</f>
        <v>12916</v>
      </c>
    </row>
    <row r="17" spans="1:3" x14ac:dyDescent="0.45">
      <c r="A17" t="s">
        <v>15</v>
      </c>
      <c r="B17" s="112">
        <f>'DCF Calculation'!D35</f>
        <v>-30955</v>
      </c>
    </row>
    <row r="18" spans="1:3" x14ac:dyDescent="0.45">
      <c r="A18" t="s">
        <v>16</v>
      </c>
      <c r="B18" s="114">
        <f>'DCF Calculation'!D36</f>
        <v>190267.21472034295</v>
      </c>
    </row>
    <row r="19" spans="1:3" x14ac:dyDescent="0.45">
      <c r="A19" t="s">
        <v>17</v>
      </c>
      <c r="B19" s="115">
        <f>'DCF Calculation'!D40</f>
        <v>490.18991297267286</v>
      </c>
    </row>
    <row r="20" spans="1:3" x14ac:dyDescent="0.45">
      <c r="A20" t="s">
        <v>18</v>
      </c>
      <c r="B20" s="115">
        <f>B10</f>
        <v>1204</v>
      </c>
    </row>
    <row r="21" spans="1:3" x14ac:dyDescent="0.45">
      <c r="A21" t="s">
        <v>302</v>
      </c>
      <c r="B21" s="113">
        <f>'DCF Calculation'!D43</f>
        <v>-0.59286552078681665</v>
      </c>
    </row>
    <row r="23" spans="1:3" ht="21" x14ac:dyDescent="0.65">
      <c r="A23" s="2" t="s">
        <v>19</v>
      </c>
      <c r="B23" s="7" t="str">
        <f>IF(B21&gt;0.1,"BUY",IF(B21&lt;-0.1,"SELL","HOLD"))</f>
        <v>SELL</v>
      </c>
    </row>
    <row r="25" spans="1:3" x14ac:dyDescent="0.45">
      <c r="A25" s="52"/>
      <c r="B25" s="52"/>
      <c r="C25" s="52"/>
    </row>
    <row r="26" spans="1:3" x14ac:dyDescent="0.45">
      <c r="A26" s="116" t="s">
        <v>303</v>
      </c>
      <c r="B26" s="11"/>
    </row>
    <row r="27" spans="1:3" x14ac:dyDescent="0.45">
      <c r="A27" s="11" t="s">
        <v>304</v>
      </c>
      <c r="B27" s="117">
        <f>'DCF Calculation'!D16</f>
        <v>78702.667328799522</v>
      </c>
    </row>
    <row r="28" spans="1:3" x14ac:dyDescent="0.45">
      <c r="A28" s="11" t="s">
        <v>305</v>
      </c>
      <c r="B28" s="118">
        <f>'DCF Calculation'!D23</f>
        <v>129603.54739154344</v>
      </c>
    </row>
    <row r="29" spans="1:3" x14ac:dyDescent="0.45">
      <c r="A29" s="11" t="s">
        <v>306</v>
      </c>
      <c r="B29" s="117">
        <f>B27+B28</f>
        <v>208306.21472034295</v>
      </c>
    </row>
    <row r="30" spans="1:3" x14ac:dyDescent="0.45">
      <c r="A30" s="11" t="s">
        <v>14</v>
      </c>
      <c r="B30" s="118">
        <f>'DCF Calculation'!D34</f>
        <v>12916</v>
      </c>
    </row>
    <row r="31" spans="1:3" x14ac:dyDescent="0.45">
      <c r="A31" s="11" t="s">
        <v>15</v>
      </c>
      <c r="B31" s="118">
        <f>'DCF Calculation'!D35</f>
        <v>-30955</v>
      </c>
    </row>
    <row r="32" spans="1:3" x14ac:dyDescent="0.45">
      <c r="A32" s="116" t="s">
        <v>307</v>
      </c>
      <c r="B32" s="118">
        <f>B28+B29-B30</f>
        <v>324993.7621118864</v>
      </c>
    </row>
  </sheetData>
  <mergeCells count="4">
    <mergeCell ref="A1:H1"/>
    <mergeCell ref="A2:H2"/>
    <mergeCell ref="A4:B4"/>
    <mergeCell ref="A13:B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CA2E2-0881-40D9-B66E-A3D0FE124266}">
  <dimension ref="A1:M120"/>
  <sheetViews>
    <sheetView showGridLines="0" zoomScale="135" zoomScaleNormal="135" workbookViewId="0">
      <selection activeCell="A6" sqref="A6"/>
    </sheetView>
  </sheetViews>
  <sheetFormatPr defaultRowHeight="14.25" x14ac:dyDescent="0.45"/>
  <cols>
    <col min="1" max="1" width="49.3984375" bestFit="1" customWidth="1"/>
    <col min="2" max="5" width="15.33203125" bestFit="1" customWidth="1"/>
    <col min="6" max="6" width="15" bestFit="1" customWidth="1"/>
    <col min="7" max="7" width="15.53125" customWidth="1"/>
    <col min="8" max="8" width="29.53125" bestFit="1" customWidth="1"/>
    <col min="9" max="9" width="18.265625" bestFit="1" customWidth="1"/>
    <col min="10" max="13" width="11.73046875" bestFit="1" customWidth="1"/>
    <col min="14" max="14" width="25.6640625" bestFit="1" customWidth="1"/>
    <col min="15" max="16" width="11.73046875" bestFit="1" customWidth="1"/>
    <col min="17" max="17" width="18.796875" bestFit="1" customWidth="1"/>
    <col min="18" max="18" width="16.33203125" bestFit="1" customWidth="1"/>
    <col min="19" max="19" width="15.59765625" bestFit="1" customWidth="1"/>
    <col min="20" max="20" width="18.53125" bestFit="1" customWidth="1"/>
    <col min="21" max="21" width="48.6640625" bestFit="1" customWidth="1"/>
    <col min="22" max="22" width="14.796875" bestFit="1" customWidth="1"/>
    <col min="23" max="23" width="31.6640625" bestFit="1" customWidth="1"/>
    <col min="24" max="24" width="21.46484375" bestFit="1" customWidth="1"/>
    <col min="25" max="25" width="19.9296875" bestFit="1" customWidth="1"/>
    <col min="26" max="26" width="12.19921875" bestFit="1" customWidth="1"/>
    <col min="27" max="27" width="10.6640625" bestFit="1" customWidth="1"/>
    <col min="28" max="28" width="32" bestFit="1" customWidth="1"/>
    <col min="29" max="29" width="30.9296875" bestFit="1" customWidth="1"/>
    <col min="30" max="30" width="12.1328125" bestFit="1" customWidth="1"/>
    <col min="31" max="31" width="39.9296875" bestFit="1" customWidth="1"/>
    <col min="32" max="32" width="31" bestFit="1" customWidth="1"/>
    <col min="33" max="33" width="34.796875" bestFit="1" customWidth="1"/>
    <col min="34" max="34" width="13.33203125" bestFit="1" customWidth="1"/>
    <col min="35" max="35" width="14.3984375" bestFit="1" customWidth="1"/>
    <col min="36" max="36" width="21" bestFit="1" customWidth="1"/>
    <col min="37" max="37" width="33.796875" bestFit="1" customWidth="1"/>
    <col min="38" max="38" width="22.19921875" bestFit="1" customWidth="1"/>
    <col min="39" max="39" width="22.86328125" bestFit="1" customWidth="1"/>
    <col min="40" max="40" width="37.9296875" bestFit="1" customWidth="1"/>
    <col min="41" max="41" width="22.46484375" bestFit="1" customWidth="1"/>
    <col min="42" max="42" width="28.265625" bestFit="1" customWidth="1"/>
    <col min="43" max="43" width="27.53125" bestFit="1" customWidth="1"/>
    <col min="44" max="44" width="17.1328125" bestFit="1" customWidth="1"/>
    <col min="45" max="45" width="17.86328125" bestFit="1" customWidth="1"/>
    <col min="46" max="46" width="25.1328125" bestFit="1" customWidth="1"/>
    <col min="47" max="47" width="30.796875" bestFit="1" customWidth="1"/>
    <col min="48" max="48" width="12.33203125" bestFit="1" customWidth="1"/>
    <col min="49" max="49" width="16.19921875" bestFit="1" customWidth="1"/>
    <col min="50" max="50" width="14.19921875" bestFit="1" customWidth="1"/>
    <col min="51" max="51" width="18.1328125" bestFit="1" customWidth="1"/>
  </cols>
  <sheetData>
    <row r="1" spans="1:13" ht="18" x14ac:dyDescent="0.55000000000000004">
      <c r="A1" s="104" t="s">
        <v>20</v>
      </c>
      <c r="B1" s="104"/>
      <c r="C1" s="104"/>
      <c r="D1" s="104"/>
      <c r="E1" s="104"/>
      <c r="F1" s="104"/>
      <c r="G1" s="104"/>
    </row>
    <row r="2" spans="1:13" x14ac:dyDescent="0.45">
      <c r="A2" s="105" t="s">
        <v>21</v>
      </c>
      <c r="B2" s="105"/>
      <c r="C2" s="105"/>
      <c r="D2" s="105"/>
      <c r="E2" s="105"/>
      <c r="F2" s="105"/>
    </row>
    <row r="4" spans="1:13" x14ac:dyDescent="0.45">
      <c r="A4" s="17"/>
      <c r="B4" s="42">
        <v>44561</v>
      </c>
      <c r="C4" s="42">
        <v>44926</v>
      </c>
      <c r="D4" s="18" t="s">
        <v>69</v>
      </c>
      <c r="E4" s="42">
        <v>45657</v>
      </c>
      <c r="F4" s="43">
        <v>46022</v>
      </c>
    </row>
    <row r="5" spans="1:13" x14ac:dyDescent="0.45">
      <c r="A5" s="20" t="s">
        <v>98</v>
      </c>
      <c r="B5" s="14"/>
      <c r="C5" s="14"/>
      <c r="D5" s="14"/>
      <c r="E5" s="14"/>
      <c r="F5" s="14"/>
    </row>
    <row r="6" spans="1:13" x14ac:dyDescent="0.45">
      <c r="A6" s="12" t="s">
        <v>91</v>
      </c>
      <c r="B6" s="14">
        <v>18611</v>
      </c>
      <c r="C6" s="14">
        <v>21173</v>
      </c>
      <c r="D6" s="14">
        <v>27559</v>
      </c>
      <c r="E6" s="14">
        <v>28263</v>
      </c>
      <c r="F6" s="14">
        <v>32667</v>
      </c>
    </row>
    <row r="7" spans="1:13" x14ac:dyDescent="0.45">
      <c r="A7" s="12" t="s">
        <v>72</v>
      </c>
      <c r="B7" s="14">
        <v>8802</v>
      </c>
      <c r="C7" s="14">
        <v>10473</v>
      </c>
      <c r="D7" s="14">
        <v>13423</v>
      </c>
      <c r="E7" s="14">
        <v>13771</v>
      </c>
      <c r="F7" s="14">
        <v>15409</v>
      </c>
    </row>
    <row r="8" spans="1:13" x14ac:dyDescent="0.45">
      <c r="A8" s="12" t="s">
        <v>73</v>
      </c>
      <c r="B8" s="14">
        <v>9809</v>
      </c>
      <c r="C8" s="14">
        <v>10700</v>
      </c>
      <c r="D8" s="14">
        <v>14136</v>
      </c>
      <c r="E8" s="14">
        <v>14492</v>
      </c>
      <c r="F8" s="14">
        <v>17258</v>
      </c>
    </row>
    <row r="9" spans="1:13" x14ac:dyDescent="0.45">
      <c r="A9" s="12" t="s">
        <v>74</v>
      </c>
      <c r="B9" s="14">
        <v>2547</v>
      </c>
      <c r="C9" s="14">
        <v>3254</v>
      </c>
      <c r="D9" s="14">
        <v>3981</v>
      </c>
      <c r="E9" s="14">
        <v>4304</v>
      </c>
      <c r="F9" s="14">
        <v>4699</v>
      </c>
      <c r="H9" s="30" t="s">
        <v>128</v>
      </c>
      <c r="I9" s="25" cm="1">
        <f t="array" ref="I9:M9">B9:F9/B6:F6</f>
        <v>0.13685454838536348</v>
      </c>
      <c r="J9" s="25">
        <v>0.15368629858782412</v>
      </c>
      <c r="K9" s="25">
        <v>0.14445371747886354</v>
      </c>
      <c r="L9" s="25">
        <v>0.15228390475179562</v>
      </c>
      <c r="M9" s="25">
        <v>0.143845470964582</v>
      </c>
    </row>
    <row r="10" spans="1:13" x14ac:dyDescent="0.45">
      <c r="A10" s="12" t="s">
        <v>75</v>
      </c>
      <c r="B10" s="14">
        <v>726</v>
      </c>
      <c r="C10" s="14">
        <v>946</v>
      </c>
      <c r="D10" s="14">
        <v>1113</v>
      </c>
      <c r="E10" s="14">
        <v>1166</v>
      </c>
      <c r="F10" s="14">
        <v>1258</v>
      </c>
      <c r="I10" s="25">
        <f>AVERAGE(_xlfn.ANCHORARRAY(I9))</f>
        <v>0.14622478803368574</v>
      </c>
      <c r="J10" s="25"/>
      <c r="K10" s="25"/>
      <c r="L10" s="25"/>
      <c r="M10" s="25"/>
    </row>
    <row r="11" spans="1:13" x14ac:dyDescent="0.45">
      <c r="A11" s="15" t="s">
        <v>30</v>
      </c>
      <c r="B11" s="16">
        <v>6991</v>
      </c>
      <c r="C11" s="16">
        <v>7081</v>
      </c>
      <c r="D11" s="16">
        <v>9699</v>
      </c>
      <c r="E11" s="16">
        <v>9861</v>
      </c>
      <c r="F11" s="16">
        <v>12327</v>
      </c>
      <c r="H11" s="30" t="s">
        <v>129</v>
      </c>
      <c r="I11" s="25" cm="1">
        <f t="array" ref="I11:M11">B10:F10/B6:F6</f>
        <v>3.9009188114555907E-2</v>
      </c>
      <c r="J11" s="25">
        <v>4.4679544703159685E-2</v>
      </c>
      <c r="K11" s="25">
        <v>4.0386080772161548E-2</v>
      </c>
      <c r="L11" s="25">
        <v>4.1255351519654669E-2</v>
      </c>
      <c r="M11" s="25">
        <v>3.8509811124376285E-2</v>
      </c>
    </row>
    <row r="12" spans="1:13" x14ac:dyDescent="0.45">
      <c r="A12" s="12" t="s">
        <v>84</v>
      </c>
      <c r="B12" s="14">
        <v>6750</v>
      </c>
      <c r="C12" s="14">
        <v>6501</v>
      </c>
      <c r="D12" s="14">
        <v>9042</v>
      </c>
      <c r="E12" s="14">
        <v>9022</v>
      </c>
      <c r="F12" s="14">
        <v>11301</v>
      </c>
      <c r="I12" s="25">
        <f>AVERAGE(_xlfn.ANCHORARRAY(I11))</f>
        <v>4.0767995246781617E-2</v>
      </c>
      <c r="J12" s="25"/>
      <c r="K12" s="25"/>
      <c r="L12" s="25"/>
      <c r="M12" s="25"/>
    </row>
    <row r="13" spans="1:13" x14ac:dyDescent="0.45">
      <c r="A13" s="12" t="s">
        <v>90</v>
      </c>
      <c r="B13" s="14" t="s">
        <v>87</v>
      </c>
      <c r="C13" s="14" t="s">
        <v>87</v>
      </c>
      <c r="D13" s="14" t="s">
        <v>87</v>
      </c>
      <c r="E13" s="14" t="s">
        <v>87</v>
      </c>
      <c r="F13" s="14" t="s">
        <v>87</v>
      </c>
    </row>
    <row r="14" spans="1:13" x14ac:dyDescent="0.45">
      <c r="A14" s="12" t="s">
        <v>76</v>
      </c>
      <c r="B14" s="14" t="s">
        <v>87</v>
      </c>
      <c r="C14" s="14" t="s">
        <v>87</v>
      </c>
      <c r="D14" s="14" t="s">
        <v>87</v>
      </c>
      <c r="E14" s="14" t="s">
        <v>87</v>
      </c>
      <c r="F14" s="14" t="s">
        <v>87</v>
      </c>
    </row>
    <row r="15" spans="1:13" x14ac:dyDescent="0.45">
      <c r="A15" s="37" t="s">
        <v>77</v>
      </c>
      <c r="B15" s="36">
        <v>5883</v>
      </c>
      <c r="C15" s="36">
        <v>5624</v>
      </c>
      <c r="D15" s="36">
        <v>7839</v>
      </c>
      <c r="E15" s="36">
        <v>7572</v>
      </c>
      <c r="F15" s="36">
        <v>9609</v>
      </c>
    </row>
    <row r="16" spans="1:13" x14ac:dyDescent="0.45">
      <c r="A16" s="20" t="s">
        <v>99</v>
      </c>
      <c r="B16" s="14"/>
      <c r="C16" s="14"/>
      <c r="D16" s="14"/>
      <c r="E16" s="14"/>
      <c r="F16" s="14"/>
    </row>
    <row r="17" spans="1:6" x14ac:dyDescent="0.45">
      <c r="A17" s="12" t="s">
        <v>78</v>
      </c>
      <c r="B17" s="14">
        <v>30231</v>
      </c>
      <c r="C17" s="14">
        <v>36300</v>
      </c>
      <c r="D17" s="14">
        <v>39958</v>
      </c>
      <c r="E17" s="14">
        <v>48590</v>
      </c>
      <c r="F17" s="14">
        <v>50567</v>
      </c>
    </row>
    <row r="18" spans="1:6" x14ac:dyDescent="0.45">
      <c r="A18" s="12" t="s">
        <v>79</v>
      </c>
      <c r="B18" s="14">
        <v>2983</v>
      </c>
      <c r="C18" s="14">
        <v>3944</v>
      </c>
      <c r="D18" s="14">
        <v>5493</v>
      </c>
      <c r="E18" s="14">
        <v>6847</v>
      </c>
      <c r="F18" s="14">
        <v>7894</v>
      </c>
    </row>
    <row r="19" spans="1:6" x14ac:dyDescent="0.45">
      <c r="A19" s="12" t="s">
        <v>80</v>
      </c>
      <c r="B19" s="14">
        <v>6952</v>
      </c>
      <c r="C19" s="14">
        <v>7268</v>
      </c>
      <c r="D19" s="14">
        <v>7005</v>
      </c>
      <c r="E19" s="14">
        <v>12736</v>
      </c>
      <c r="F19" s="14">
        <v>12916</v>
      </c>
    </row>
    <row r="20" spans="1:6" x14ac:dyDescent="0.45">
      <c r="A20" s="12" t="s">
        <v>81</v>
      </c>
      <c r="B20" s="14">
        <v>20090</v>
      </c>
      <c r="C20" s="14">
        <v>27489</v>
      </c>
      <c r="D20" s="14">
        <v>26506</v>
      </c>
      <c r="E20" s="14">
        <v>30113</v>
      </c>
      <c r="F20" s="14">
        <v>30955</v>
      </c>
    </row>
    <row r="21" spans="1:6" x14ac:dyDescent="0.45">
      <c r="A21" s="12" t="s">
        <v>82</v>
      </c>
      <c r="B21" s="14">
        <v>10141</v>
      </c>
      <c r="C21" s="14">
        <v>8811</v>
      </c>
      <c r="D21" s="14">
        <v>13452</v>
      </c>
      <c r="E21" s="14">
        <v>18477</v>
      </c>
      <c r="F21" s="14">
        <v>19612</v>
      </c>
    </row>
    <row r="22" spans="1:6" x14ac:dyDescent="0.45">
      <c r="A22" s="37" t="s">
        <v>85</v>
      </c>
      <c r="B22" s="36">
        <v>410</v>
      </c>
      <c r="C22" s="36">
        <v>398</v>
      </c>
      <c r="D22" s="36">
        <v>394</v>
      </c>
      <c r="E22" s="36">
        <v>393</v>
      </c>
      <c r="F22" s="36">
        <v>389</v>
      </c>
    </row>
    <row r="23" spans="1:6" x14ac:dyDescent="0.45">
      <c r="A23" s="22" t="s">
        <v>100</v>
      </c>
      <c r="B23" s="14"/>
      <c r="C23" s="14"/>
      <c r="D23" s="14"/>
      <c r="E23" s="14"/>
      <c r="F23" s="14"/>
    </row>
    <row r="24" spans="1:6" x14ac:dyDescent="0.45">
      <c r="A24" s="12" t="s">
        <v>83</v>
      </c>
      <c r="B24" s="14">
        <v>10847</v>
      </c>
      <c r="C24" s="14">
        <v>8487</v>
      </c>
      <c r="D24" s="14">
        <v>5443</v>
      </c>
      <c r="E24" s="14">
        <v>11166</v>
      </c>
      <c r="F24" s="14">
        <v>12659</v>
      </c>
    </row>
    <row r="25" spans="1:6" x14ac:dyDescent="0.45">
      <c r="A25" s="12" t="s">
        <v>89</v>
      </c>
      <c r="B25" s="14">
        <v>940</v>
      </c>
      <c r="C25" s="14">
        <v>1319</v>
      </c>
      <c r="D25" s="14">
        <v>2196</v>
      </c>
      <c r="E25" s="14">
        <v>2083</v>
      </c>
      <c r="F25" s="14">
        <v>1631</v>
      </c>
    </row>
    <row r="26" spans="1:6" x14ac:dyDescent="0.45">
      <c r="A26" s="12"/>
      <c r="B26" s="14"/>
      <c r="C26" s="14"/>
      <c r="D26" s="14"/>
      <c r="E26" s="14"/>
      <c r="F26" s="14"/>
    </row>
    <row r="27" spans="1:6" x14ac:dyDescent="0.45">
      <c r="A27" s="27"/>
      <c r="B27" s="33"/>
      <c r="C27" s="33"/>
      <c r="D27" s="33"/>
      <c r="E27" s="33"/>
      <c r="F27" s="33"/>
    </row>
    <row r="28" spans="1:6" x14ac:dyDescent="0.45">
      <c r="A28" s="27"/>
      <c r="B28" s="33"/>
      <c r="C28" s="33"/>
      <c r="D28" s="33"/>
      <c r="E28" s="33"/>
      <c r="F28" s="33"/>
    </row>
    <row r="29" spans="1:6" ht="15.4" x14ac:dyDescent="0.45">
      <c r="A29" s="28" t="s">
        <v>92</v>
      </c>
      <c r="B29" s="30"/>
      <c r="C29" s="30"/>
      <c r="D29" s="30"/>
      <c r="E29" s="30"/>
      <c r="F29" s="30"/>
    </row>
    <row r="30" spans="1:6" x14ac:dyDescent="0.45">
      <c r="A30" s="29" t="s">
        <v>12</v>
      </c>
      <c r="B30" s="34"/>
      <c r="C30" s="34"/>
      <c r="D30" s="34"/>
      <c r="E30" s="34"/>
      <c r="F30" s="34"/>
    </row>
    <row r="31" spans="1:6" x14ac:dyDescent="0.45">
      <c r="A31" s="27" t="s">
        <v>93</v>
      </c>
      <c r="B31" s="35">
        <f>(B8/B6)</f>
        <v>0.52705389285906179</v>
      </c>
      <c r="C31" s="35">
        <f>(C8/C6)</f>
        <v>0.50536060076512535</v>
      </c>
      <c r="D31" s="35">
        <f>(D8/D6)</f>
        <v>0.51293588301462312</v>
      </c>
      <c r="E31" s="35">
        <f>(E8/E6)</f>
        <v>0.51275519230088806</v>
      </c>
      <c r="F31" s="35">
        <f>(F8/F6)</f>
        <v>0.52830073162518754</v>
      </c>
    </row>
    <row r="32" spans="1:6" x14ac:dyDescent="0.45">
      <c r="A32" s="30" t="s">
        <v>94</v>
      </c>
      <c r="B32" s="35">
        <f>(B12/B6)</f>
        <v>0.36268873247004457</v>
      </c>
      <c r="C32" s="35">
        <f>(C12/C6)</f>
        <v>0.30704198743682992</v>
      </c>
      <c r="D32" s="35">
        <f>(D12/D6)</f>
        <v>0.32809608476359808</v>
      </c>
      <c r="E32" s="35">
        <f>(E12/E6)</f>
        <v>0.31921593602943776</v>
      </c>
      <c r="F32" s="35">
        <f>(F12/F6)</f>
        <v>0.34594544953622924</v>
      </c>
    </row>
    <row r="33" spans="1:6" x14ac:dyDescent="0.45">
      <c r="A33" s="30" t="s">
        <v>95</v>
      </c>
      <c r="B33" s="35">
        <f>(B15/B6)</f>
        <v>0.31610337972166996</v>
      </c>
      <c r="C33" s="35">
        <f>(C15/C6)</f>
        <v>0.26562131015916496</v>
      </c>
      <c r="D33" s="35">
        <f>(D15/D6)</f>
        <v>0.28444428317428061</v>
      </c>
      <c r="E33" s="35">
        <f>(E15/E6)</f>
        <v>0.26791211124084491</v>
      </c>
      <c r="F33" s="35">
        <f>(F15/F6)</f>
        <v>0.29415005969326846</v>
      </c>
    </row>
    <row r="34" spans="1:6" x14ac:dyDescent="0.45">
      <c r="A34" s="30" t="s">
        <v>96</v>
      </c>
      <c r="B34" s="35"/>
      <c r="C34" s="35">
        <f>((C6/B6)-1)</f>
        <v>0.1376605233464081</v>
      </c>
      <c r="D34" s="35">
        <f>((D6/C6)-1)</f>
        <v>0.30161054172767199</v>
      </c>
      <c r="E34" s="35">
        <f>((E6/D6)-1)</f>
        <v>2.5545193947530853E-2</v>
      </c>
      <c r="F34" s="35">
        <f>((F6/E6)-1)</f>
        <v>0.15582209956480209</v>
      </c>
    </row>
    <row r="35" spans="1:6" ht="15.4" x14ac:dyDescent="0.45">
      <c r="A35" s="31" t="s">
        <v>102</v>
      </c>
    </row>
    <row r="36" spans="1:6" x14ac:dyDescent="0.45">
      <c r="A36" s="12" t="s">
        <v>86</v>
      </c>
      <c r="B36" s="13">
        <f>B24-B25</f>
        <v>9907</v>
      </c>
      <c r="C36" s="13">
        <f t="shared" ref="C36:F36" si="0">C24-C25</f>
        <v>7168</v>
      </c>
      <c r="D36" s="13">
        <f t="shared" si="0"/>
        <v>3247</v>
      </c>
      <c r="E36" s="13">
        <f t="shared" si="0"/>
        <v>9083</v>
      </c>
      <c r="F36" s="13">
        <f t="shared" si="0"/>
        <v>11028</v>
      </c>
    </row>
    <row r="37" spans="1:6" x14ac:dyDescent="0.45">
      <c r="A37" s="30"/>
    </row>
    <row r="38" spans="1:6" x14ac:dyDescent="0.45">
      <c r="A38" s="30"/>
    </row>
    <row r="39" spans="1:6" x14ac:dyDescent="0.45">
      <c r="A39" s="30"/>
    </row>
    <row r="40" spans="1:6" x14ac:dyDescent="0.45">
      <c r="A40" s="30"/>
    </row>
    <row r="41" spans="1:6" x14ac:dyDescent="0.45">
      <c r="A41" s="30"/>
    </row>
    <row r="42" spans="1:6" x14ac:dyDescent="0.45">
      <c r="A42" s="30"/>
    </row>
    <row r="43" spans="1:6" x14ac:dyDescent="0.45">
      <c r="A43" s="30"/>
    </row>
    <row r="44" spans="1:6" x14ac:dyDescent="0.45">
      <c r="A44" s="32" t="s">
        <v>97</v>
      </c>
    </row>
    <row r="45" spans="1:6" x14ac:dyDescent="0.45">
      <c r="A45" s="30"/>
    </row>
    <row r="46" spans="1:6" x14ac:dyDescent="0.45">
      <c r="A46" s="30"/>
    </row>
    <row r="47" spans="1:6" x14ac:dyDescent="0.45">
      <c r="A47" s="30"/>
    </row>
    <row r="48" spans="1:6" x14ac:dyDescent="0.45">
      <c r="A48" s="30"/>
    </row>
    <row r="49" spans="1:1" x14ac:dyDescent="0.45">
      <c r="A49" s="30"/>
    </row>
    <row r="50" spans="1:1" x14ac:dyDescent="0.45">
      <c r="A50" s="30"/>
    </row>
    <row r="75" spans="1:6" x14ac:dyDescent="0.45">
      <c r="A75" s="8" t="s">
        <v>22</v>
      </c>
      <c r="B75" s="8" t="s">
        <v>67</v>
      </c>
      <c r="C75" s="8" t="s">
        <v>68</v>
      </c>
      <c r="D75" s="8" t="s">
        <v>69</v>
      </c>
      <c r="E75" s="8" t="s">
        <v>70</v>
      </c>
      <c r="F75" s="8" t="s">
        <v>71</v>
      </c>
    </row>
    <row r="76" spans="1:6" x14ac:dyDescent="0.45">
      <c r="A76" s="9"/>
      <c r="B76" s="19"/>
      <c r="C76" s="19"/>
      <c r="D76" s="19"/>
      <c r="E76" s="19"/>
      <c r="F76" s="19"/>
    </row>
    <row r="77" spans="1:6" x14ac:dyDescent="0.45">
      <c r="A77" s="9" t="s">
        <v>23</v>
      </c>
      <c r="B77" s="19">
        <v>0.17699999999999999</v>
      </c>
      <c r="C77" s="19">
        <v>0.186</v>
      </c>
      <c r="D77" s="19">
        <v>0.158</v>
      </c>
      <c r="E77" s="19">
        <v>0.15023</v>
      </c>
      <c r="F77" s="19"/>
    </row>
    <row r="78" spans="1:6" x14ac:dyDescent="0.45">
      <c r="A78" s="9" t="s">
        <v>24</v>
      </c>
      <c r="B78" s="19">
        <v>12327300000</v>
      </c>
      <c r="C78" s="19">
        <v>9941200000</v>
      </c>
      <c r="D78" s="19">
        <v>9976000000</v>
      </c>
      <c r="E78" s="19">
        <v>7100500000</v>
      </c>
      <c r="F78" s="19"/>
    </row>
    <row r="79" spans="1:6" x14ac:dyDescent="0.45">
      <c r="A79" s="9" t="s">
        <v>25</v>
      </c>
      <c r="B79" s="19"/>
      <c r="C79" s="19"/>
      <c r="D79" s="19"/>
      <c r="E79" s="19"/>
      <c r="F79" s="19">
        <v>213700000</v>
      </c>
    </row>
    <row r="80" spans="1:6" x14ac:dyDescent="0.45">
      <c r="A80" s="9" t="s">
        <v>26</v>
      </c>
      <c r="B80" s="19"/>
      <c r="C80" s="19"/>
      <c r="D80" s="19"/>
      <c r="E80" s="19"/>
      <c r="F80" s="19">
        <v>213700000</v>
      </c>
    </row>
    <row r="81" spans="1:6" x14ac:dyDescent="0.45">
      <c r="A81" s="9" t="s">
        <v>27</v>
      </c>
      <c r="B81" s="19">
        <v>9609400000</v>
      </c>
      <c r="C81" s="19">
        <v>7571600000</v>
      </c>
      <c r="D81" s="19">
        <v>7839000000</v>
      </c>
      <c r="E81" s="19">
        <v>5624200000</v>
      </c>
      <c r="F81" s="19"/>
    </row>
    <row r="82" spans="1:6" x14ac:dyDescent="0.45">
      <c r="A82" s="9" t="s">
        <v>28</v>
      </c>
      <c r="B82" s="19">
        <v>1025900000</v>
      </c>
      <c r="C82" s="19">
        <v>918600000</v>
      </c>
      <c r="D82" s="19">
        <v>739800000</v>
      </c>
      <c r="E82" s="19">
        <v>583600000</v>
      </c>
      <c r="F82" s="19"/>
    </row>
    <row r="83" spans="1:6" x14ac:dyDescent="0.45">
      <c r="A83" s="9" t="s">
        <v>29</v>
      </c>
      <c r="B83" s="19">
        <v>15409300000</v>
      </c>
      <c r="C83" s="19">
        <v>13770900000</v>
      </c>
      <c r="D83" s="19">
        <v>13422400000</v>
      </c>
      <c r="E83" s="19">
        <v>10473300000</v>
      </c>
      <c r="F83" s="19"/>
    </row>
    <row r="84" spans="1:6" x14ac:dyDescent="0.45">
      <c r="A84" s="9" t="s">
        <v>30</v>
      </c>
      <c r="B84" s="19">
        <v>12327300000</v>
      </c>
      <c r="C84" s="19">
        <v>9941200000</v>
      </c>
      <c r="D84" s="19">
        <v>9976000000</v>
      </c>
      <c r="E84" s="19">
        <v>7100500000</v>
      </c>
      <c r="F84" s="19"/>
    </row>
    <row r="85" spans="1:6" x14ac:dyDescent="0.45">
      <c r="A85" s="9" t="s">
        <v>31</v>
      </c>
      <c r="B85" s="19">
        <v>11301400000</v>
      </c>
      <c r="C85" s="19">
        <v>9022600000</v>
      </c>
      <c r="D85" s="19">
        <v>9236200000</v>
      </c>
      <c r="E85" s="19">
        <v>6516900000</v>
      </c>
      <c r="F85" s="19"/>
    </row>
    <row r="86" spans="1:6" x14ac:dyDescent="0.45">
      <c r="A86" s="9" t="s">
        <v>32</v>
      </c>
      <c r="B86" s="19">
        <v>104700000</v>
      </c>
      <c r="C86" s="19">
        <v>19800000</v>
      </c>
      <c r="D86" s="19">
        <v>41200000</v>
      </c>
      <c r="E86" s="19">
        <v>-44600000</v>
      </c>
      <c r="F86" s="19"/>
    </row>
    <row r="87" spans="1:6" x14ac:dyDescent="0.45">
      <c r="A87" s="9" t="s">
        <v>33</v>
      </c>
      <c r="B87" s="19"/>
      <c r="C87" s="19">
        <v>162600000</v>
      </c>
      <c r="D87" s="19">
        <v>152700000</v>
      </c>
      <c r="E87" s="19">
        <v>60800000</v>
      </c>
      <c r="F87" s="19">
        <v>54600000</v>
      </c>
    </row>
    <row r="88" spans="1:6" x14ac:dyDescent="0.45">
      <c r="A88" s="9" t="s">
        <v>34</v>
      </c>
      <c r="B88" s="19"/>
      <c r="C88" s="19">
        <v>182400000</v>
      </c>
      <c r="D88" s="19">
        <v>193900000</v>
      </c>
      <c r="E88" s="19">
        <v>16200000</v>
      </c>
      <c r="F88" s="19">
        <v>10000000</v>
      </c>
    </row>
    <row r="89" spans="1:6" x14ac:dyDescent="0.45">
      <c r="A89" s="9" t="s">
        <v>35</v>
      </c>
      <c r="B89" s="19">
        <v>9609400000</v>
      </c>
      <c r="C89" s="19">
        <v>7571600000</v>
      </c>
      <c r="D89" s="19">
        <v>7839000000</v>
      </c>
      <c r="E89" s="19">
        <v>5624200000</v>
      </c>
      <c r="F89" s="19"/>
    </row>
    <row r="90" spans="1:6" x14ac:dyDescent="0.45">
      <c r="A90" s="9" t="s">
        <v>36</v>
      </c>
      <c r="B90" s="19">
        <v>9609400000</v>
      </c>
      <c r="C90" s="19">
        <v>7571600000</v>
      </c>
      <c r="D90" s="19">
        <v>7839000000</v>
      </c>
      <c r="E90" s="19">
        <v>5624200000</v>
      </c>
      <c r="F90" s="19"/>
    </row>
    <row r="91" spans="1:6" x14ac:dyDescent="0.45">
      <c r="A91" s="9" t="s">
        <v>37</v>
      </c>
      <c r="B91" s="19">
        <v>21365900000</v>
      </c>
      <c r="C91" s="19">
        <v>19240300000</v>
      </c>
      <c r="D91" s="19">
        <v>18516200000</v>
      </c>
      <c r="E91" s="19">
        <v>14672700000</v>
      </c>
      <c r="F91" s="19"/>
    </row>
    <row r="92" spans="1:6" x14ac:dyDescent="0.45">
      <c r="A92" s="9" t="s">
        <v>38</v>
      </c>
      <c r="B92" s="19">
        <v>11301400000</v>
      </c>
      <c r="C92" s="19">
        <v>9022600000</v>
      </c>
      <c r="D92" s="19">
        <v>9042300000</v>
      </c>
      <c r="E92" s="19">
        <v>6500700000</v>
      </c>
      <c r="F92" s="19"/>
    </row>
    <row r="93" spans="1:6" x14ac:dyDescent="0.45">
      <c r="A93" s="9" t="s">
        <v>39</v>
      </c>
      <c r="B93" s="19">
        <v>388900000</v>
      </c>
      <c r="C93" s="19">
        <v>393600000</v>
      </c>
      <c r="D93" s="19">
        <v>394100000</v>
      </c>
      <c r="E93" s="19">
        <v>398000000</v>
      </c>
      <c r="F93" s="19"/>
    </row>
    <row r="94" spans="1:6" x14ac:dyDescent="0.45">
      <c r="A94" s="9" t="s">
        <v>40</v>
      </c>
      <c r="B94" s="19">
        <v>388500000</v>
      </c>
      <c r="C94" s="19">
        <v>393300000</v>
      </c>
      <c r="D94" s="19">
        <v>393800000</v>
      </c>
      <c r="E94" s="19">
        <v>397700000</v>
      </c>
      <c r="F94" s="19"/>
    </row>
    <row r="95" spans="1:6" x14ac:dyDescent="0.45">
      <c r="A95" s="9" t="s">
        <v>41</v>
      </c>
      <c r="B95" s="19">
        <v>24.71</v>
      </c>
      <c r="C95" s="19">
        <v>19.239999999999998</v>
      </c>
      <c r="D95" s="19">
        <v>20.59</v>
      </c>
      <c r="E95" s="19">
        <v>16.07</v>
      </c>
      <c r="F95" s="19"/>
    </row>
    <row r="96" spans="1:6" x14ac:dyDescent="0.45">
      <c r="A96" s="9" t="s">
        <v>42</v>
      </c>
      <c r="B96" s="19">
        <v>24.73</v>
      </c>
      <c r="C96" s="19">
        <v>19.25</v>
      </c>
      <c r="D96" s="19">
        <v>20.61</v>
      </c>
      <c r="E96" s="19">
        <v>16.079999999999998</v>
      </c>
      <c r="F96" s="19"/>
    </row>
    <row r="97" spans="1:6" x14ac:dyDescent="0.45">
      <c r="A97" s="9" t="s">
        <v>43</v>
      </c>
      <c r="B97" s="19">
        <v>9609400000</v>
      </c>
      <c r="C97" s="19">
        <v>7571600000</v>
      </c>
      <c r="D97" s="19">
        <v>7839000000</v>
      </c>
      <c r="E97" s="19">
        <v>5624200000</v>
      </c>
      <c r="F97" s="19"/>
    </row>
    <row r="98" spans="1:6" x14ac:dyDescent="0.45">
      <c r="A98" s="9" t="s">
        <v>44</v>
      </c>
      <c r="B98" s="19">
        <v>9609400000</v>
      </c>
      <c r="C98" s="19">
        <v>7571600000</v>
      </c>
      <c r="D98" s="19">
        <v>7839000000</v>
      </c>
      <c r="E98" s="19">
        <v>5624200000</v>
      </c>
      <c r="F98" s="19"/>
    </row>
    <row r="99" spans="1:6" x14ac:dyDescent="0.45">
      <c r="A99" s="9" t="s">
        <v>45</v>
      </c>
      <c r="B99" s="19">
        <v>9609400000</v>
      </c>
      <c r="C99" s="19">
        <v>7571600000</v>
      </c>
      <c r="D99" s="19">
        <v>7839000000</v>
      </c>
      <c r="E99" s="19">
        <v>5624200000</v>
      </c>
      <c r="F99" s="19"/>
    </row>
    <row r="100" spans="1:6" x14ac:dyDescent="0.45">
      <c r="A100" s="9" t="s">
        <v>46</v>
      </c>
      <c r="B100" s="19">
        <v>9609400000</v>
      </c>
      <c r="C100" s="19">
        <v>7571600000</v>
      </c>
      <c r="D100" s="19">
        <v>7839000000</v>
      </c>
      <c r="E100" s="19">
        <v>5624200000</v>
      </c>
      <c r="F100" s="19"/>
    </row>
    <row r="101" spans="1:6" x14ac:dyDescent="0.45">
      <c r="A101" s="9" t="s">
        <v>47</v>
      </c>
      <c r="B101" s="19">
        <v>9609400000</v>
      </c>
      <c r="C101" s="19">
        <v>7571600000</v>
      </c>
      <c r="D101" s="19">
        <v>7839000000</v>
      </c>
      <c r="E101" s="19">
        <v>5624200000</v>
      </c>
      <c r="F101" s="19"/>
    </row>
    <row r="102" spans="1:6" x14ac:dyDescent="0.45">
      <c r="A102" s="9" t="s">
        <v>48</v>
      </c>
      <c r="B102" s="19">
        <v>216700000</v>
      </c>
      <c r="C102" s="19">
        <v>209800000</v>
      </c>
      <c r="D102" s="19">
        <v>191300000</v>
      </c>
      <c r="E102" s="19">
        <v>138000000</v>
      </c>
      <c r="F102" s="19"/>
    </row>
    <row r="103" spans="1:6" x14ac:dyDescent="0.45">
      <c r="A103" s="9" t="s">
        <v>49</v>
      </c>
      <c r="B103" s="19">
        <v>2013400000</v>
      </c>
      <c r="C103" s="19">
        <v>1680600000</v>
      </c>
      <c r="D103" s="19">
        <v>1435800000</v>
      </c>
      <c r="E103" s="19">
        <v>969900000</v>
      </c>
      <c r="F103" s="19"/>
    </row>
    <row r="104" spans="1:6" x14ac:dyDescent="0.45">
      <c r="A104" s="9" t="s">
        <v>50</v>
      </c>
      <c r="B104" s="19">
        <v>11406100000</v>
      </c>
      <c r="C104" s="19">
        <v>9042400000</v>
      </c>
      <c r="D104" s="19">
        <v>9083500000</v>
      </c>
      <c r="E104" s="19">
        <v>6456100000</v>
      </c>
      <c r="F104" s="19"/>
    </row>
    <row r="105" spans="1:6" x14ac:dyDescent="0.45">
      <c r="A105" s="9" t="s">
        <v>51</v>
      </c>
      <c r="B105" s="19"/>
      <c r="C105" s="19"/>
      <c r="D105" s="19"/>
      <c r="E105" s="19"/>
      <c r="F105" s="19">
        <v>213700000</v>
      </c>
    </row>
    <row r="106" spans="1:6" x14ac:dyDescent="0.45">
      <c r="A106" s="9" t="s">
        <v>52</v>
      </c>
      <c r="B106" s="19"/>
      <c r="C106" s="19"/>
      <c r="D106" s="19"/>
      <c r="E106" s="19"/>
      <c r="F106" s="19">
        <v>213700000</v>
      </c>
    </row>
    <row r="107" spans="1:6" x14ac:dyDescent="0.45">
      <c r="A107" s="9" t="s">
        <v>53</v>
      </c>
      <c r="B107" s="19"/>
      <c r="C107" s="19"/>
      <c r="D107" s="19"/>
      <c r="E107" s="19"/>
      <c r="F107" s="19">
        <v>213700000</v>
      </c>
    </row>
    <row r="108" spans="1:6" x14ac:dyDescent="0.45">
      <c r="A108" s="9" t="s">
        <v>54</v>
      </c>
      <c r="B108" s="19"/>
      <c r="C108" s="19"/>
      <c r="D108" s="19"/>
      <c r="E108" s="19"/>
      <c r="F108" s="19">
        <v>213700000</v>
      </c>
    </row>
    <row r="109" spans="1:6" x14ac:dyDescent="0.45">
      <c r="A109" s="9" t="s">
        <v>55</v>
      </c>
      <c r="B109" s="19">
        <v>104700000</v>
      </c>
      <c r="C109" s="19">
        <v>19800000</v>
      </c>
      <c r="D109" s="19">
        <v>41200000</v>
      </c>
      <c r="E109" s="19">
        <v>-44600000</v>
      </c>
      <c r="F109" s="19"/>
    </row>
    <row r="110" spans="1:6" x14ac:dyDescent="0.45">
      <c r="A110" s="9" t="s">
        <v>56</v>
      </c>
      <c r="B110" s="19">
        <v>-104700000</v>
      </c>
      <c r="C110" s="19">
        <v>-19800000</v>
      </c>
      <c r="D110" s="19"/>
      <c r="E110" s="19"/>
      <c r="F110" s="19"/>
    </row>
    <row r="111" spans="1:6" x14ac:dyDescent="0.45">
      <c r="A111" s="9" t="s">
        <v>57</v>
      </c>
      <c r="B111" s="19"/>
      <c r="C111" s="19">
        <v>162600000</v>
      </c>
      <c r="D111" s="19">
        <v>152700000</v>
      </c>
      <c r="E111" s="19">
        <v>60800000</v>
      </c>
      <c r="F111" s="19">
        <v>54600000</v>
      </c>
    </row>
    <row r="112" spans="1:6" x14ac:dyDescent="0.45">
      <c r="A112" s="9" t="s">
        <v>58</v>
      </c>
      <c r="B112" s="19"/>
      <c r="C112" s="19">
        <v>182400000</v>
      </c>
      <c r="D112" s="19">
        <v>193900000</v>
      </c>
      <c r="E112" s="19">
        <v>16200000</v>
      </c>
      <c r="F112" s="19">
        <v>10000000</v>
      </c>
    </row>
    <row r="113" spans="1:6" x14ac:dyDescent="0.45">
      <c r="A113" s="9" t="s">
        <v>59</v>
      </c>
      <c r="B113" s="19">
        <v>11301400000</v>
      </c>
      <c r="C113" s="19">
        <v>9022600000</v>
      </c>
      <c r="D113" s="19">
        <v>9042300000</v>
      </c>
      <c r="E113" s="19">
        <v>6500700000</v>
      </c>
      <c r="F113" s="19"/>
    </row>
    <row r="114" spans="1:6" x14ac:dyDescent="0.45">
      <c r="A114" s="9" t="s">
        <v>60</v>
      </c>
      <c r="B114" s="19">
        <v>5956600000</v>
      </c>
      <c r="C114" s="19">
        <v>5469400000</v>
      </c>
      <c r="D114" s="19">
        <v>5093800000</v>
      </c>
      <c r="E114" s="19">
        <v>4199400000</v>
      </c>
      <c r="F114" s="19"/>
    </row>
    <row r="115" spans="1:6" x14ac:dyDescent="0.45">
      <c r="A115" s="9" t="s">
        <v>61</v>
      </c>
      <c r="B115" s="19">
        <v>4698800000</v>
      </c>
      <c r="C115" s="19">
        <v>4303700000</v>
      </c>
      <c r="D115" s="19">
        <v>3980600000</v>
      </c>
      <c r="E115" s="19">
        <v>3253500000</v>
      </c>
      <c r="F115" s="19"/>
    </row>
    <row r="116" spans="1:6" x14ac:dyDescent="0.45">
      <c r="A116" s="9" t="s">
        <v>62</v>
      </c>
      <c r="B116" s="19">
        <v>1257800000</v>
      </c>
      <c r="C116" s="19">
        <v>1165700000</v>
      </c>
      <c r="D116" s="19">
        <v>1113200000</v>
      </c>
      <c r="E116" s="19">
        <v>945900000</v>
      </c>
      <c r="F116" s="19"/>
    </row>
    <row r="117" spans="1:6" x14ac:dyDescent="0.45">
      <c r="A117" s="9" t="s">
        <v>63</v>
      </c>
      <c r="B117" s="19">
        <v>17258000000</v>
      </c>
      <c r="C117" s="19">
        <v>14492000000</v>
      </c>
      <c r="D117" s="19">
        <v>14136100000</v>
      </c>
      <c r="E117" s="19">
        <v>10700100000</v>
      </c>
      <c r="F117" s="19"/>
    </row>
    <row r="118" spans="1:6" x14ac:dyDescent="0.45">
      <c r="A118" s="9" t="s">
        <v>64</v>
      </c>
      <c r="B118" s="19">
        <v>15409300000</v>
      </c>
      <c r="C118" s="19">
        <v>13770900000</v>
      </c>
      <c r="D118" s="19">
        <v>13422400000</v>
      </c>
      <c r="E118" s="19">
        <v>10473300000</v>
      </c>
      <c r="F118" s="19"/>
    </row>
    <row r="119" spans="1:6" x14ac:dyDescent="0.45">
      <c r="A119" s="9" t="s">
        <v>65</v>
      </c>
      <c r="B119" s="19">
        <v>32667300000</v>
      </c>
      <c r="C119" s="19">
        <v>28262900000</v>
      </c>
      <c r="D119" s="19">
        <v>27558500000</v>
      </c>
      <c r="E119" s="19">
        <v>21173400000</v>
      </c>
      <c r="F119" s="19"/>
    </row>
    <row r="120" spans="1:6" x14ac:dyDescent="0.45">
      <c r="A120" s="9" t="s">
        <v>66</v>
      </c>
      <c r="B120" s="19">
        <v>32667300000</v>
      </c>
      <c r="C120" s="19">
        <v>28262900000</v>
      </c>
      <c r="D120" s="19">
        <v>27558500000</v>
      </c>
      <c r="E120" s="19">
        <v>21173400000</v>
      </c>
      <c r="F120" s="19"/>
    </row>
  </sheetData>
  <mergeCells count="2">
    <mergeCell ref="A1:G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B1D11-F962-41F6-ADE6-65BABAB45BC5}">
  <dimension ref="A1:M43"/>
  <sheetViews>
    <sheetView topLeftCell="A19" zoomScale="75" workbookViewId="0">
      <selection activeCell="D43" sqref="D43"/>
    </sheetView>
  </sheetViews>
  <sheetFormatPr defaultRowHeight="14.25" x14ac:dyDescent="0.45"/>
  <cols>
    <col min="1" max="1" width="32.33203125" style="4" bestFit="1" customWidth="1"/>
    <col min="2" max="2" width="20.53125" customWidth="1"/>
    <col min="3" max="3" width="15.46484375" customWidth="1"/>
    <col min="4" max="4" width="29.33203125" bestFit="1" customWidth="1"/>
    <col min="5" max="5" width="45.1328125" customWidth="1"/>
  </cols>
  <sheetData>
    <row r="1" spans="1:13" ht="18" x14ac:dyDescent="0.55000000000000004">
      <c r="A1" s="104" t="s">
        <v>144</v>
      </c>
      <c r="B1" s="104"/>
      <c r="C1" s="104"/>
      <c r="D1" s="104"/>
      <c r="E1" s="104"/>
    </row>
    <row r="2" spans="1:13" x14ac:dyDescent="0.45">
      <c r="A2" s="105" t="s">
        <v>145</v>
      </c>
      <c r="B2" s="105"/>
      <c r="C2" s="105"/>
      <c r="D2" s="105"/>
      <c r="E2" s="105"/>
    </row>
    <row r="3" spans="1:13" x14ac:dyDescent="0.45">
      <c r="C3" t="s">
        <v>150</v>
      </c>
      <c r="D3" s="84">
        <f>WACC!C36</f>
        <v>9.1742223778499096E-2</v>
      </c>
    </row>
    <row r="4" spans="1:13" ht="20.25" customHeight="1" x14ac:dyDescent="0.45">
      <c r="A4" s="64" t="s">
        <v>146</v>
      </c>
      <c r="B4" s="55" t="s">
        <v>101</v>
      </c>
      <c r="C4" s="55" t="s">
        <v>147</v>
      </c>
      <c r="D4" s="55" t="s">
        <v>148</v>
      </c>
      <c r="E4" s="55" t="s">
        <v>149</v>
      </c>
    </row>
    <row r="5" spans="1:13" x14ac:dyDescent="0.45">
      <c r="A5" s="4">
        <v>2026</v>
      </c>
      <c r="B5" s="13">
        <f>Projections!B43</f>
        <v>2902.2579456476396</v>
      </c>
      <c r="C5" s="56">
        <f>1/(1+$D$3)^(A5-2025)</f>
        <v>0.91596713786430195</v>
      </c>
      <c r="D5" s="57">
        <f>B5*C5</f>
        <v>2658.3729038187971</v>
      </c>
      <c r="E5" s="61" t="s">
        <v>169</v>
      </c>
    </row>
    <row r="6" spans="1:13" x14ac:dyDescent="0.45">
      <c r="A6" s="4">
        <f>A5+1</f>
        <v>2027</v>
      </c>
      <c r="B6" s="13">
        <f>Projections!C$43</f>
        <v>8972.654137494781</v>
      </c>
      <c r="C6" s="56">
        <f t="shared" ref="C6:C14" si="0">1/(1+$D$3)^(A6-2025)</f>
        <v>0.83899579764732102</v>
      </c>
      <c r="D6" s="57">
        <f t="shared" ref="D6:D14" si="1">B6*C6</f>
        <v>7528.0191151009694</v>
      </c>
      <c r="E6" s="61"/>
      <c r="K6" s="13"/>
      <c r="L6" s="13"/>
      <c r="M6" s="13"/>
    </row>
    <row r="7" spans="1:13" x14ac:dyDescent="0.45">
      <c r="A7" s="4">
        <f t="shared" ref="A7:A12" si="2">A6+1</f>
        <v>2028</v>
      </c>
      <c r="B7" s="13">
        <f>Projections!D$43</f>
        <v>10318.552258118998</v>
      </c>
      <c r="C7" s="56">
        <f t="shared" si="0"/>
        <v>0.76849257945119376</v>
      </c>
      <c r="D7" s="57">
        <f t="shared" si="1"/>
        <v>7929.7308410438091</v>
      </c>
      <c r="E7" s="61"/>
    </row>
    <row r="8" spans="1:13" x14ac:dyDescent="0.45">
      <c r="A8" s="4">
        <f t="shared" si="2"/>
        <v>2029</v>
      </c>
      <c r="B8" s="13">
        <f>Projections!E$43</f>
        <v>11866.33509683685</v>
      </c>
      <c r="C8" s="56">
        <f t="shared" si="0"/>
        <v>0.70391394846986444</v>
      </c>
      <c r="D8" s="57">
        <f t="shared" si="1"/>
        <v>8352.8787918809594</v>
      </c>
      <c r="E8" s="61"/>
    </row>
    <row r="9" spans="1:13" x14ac:dyDescent="0.45">
      <c r="A9" s="4">
        <f t="shared" si="2"/>
        <v>2030</v>
      </c>
      <c r="B9" s="13">
        <f>Projections!F$43</f>
        <v>13425.586783708031</v>
      </c>
      <c r="C9" s="56">
        <f t="shared" si="0"/>
        <v>0.64476204468270149</v>
      </c>
      <c r="D9" s="57">
        <f t="shared" si="1"/>
        <v>8656.3087857286446</v>
      </c>
      <c r="E9" s="61"/>
    </row>
    <row r="10" spans="1:13" x14ac:dyDescent="0.45">
      <c r="A10" s="4">
        <f t="shared" si="2"/>
        <v>2031</v>
      </c>
      <c r="B10" s="13">
        <f>Projections!G$43</f>
        <v>14768.145462078834</v>
      </c>
      <c r="C10" s="56">
        <f t="shared" si="0"/>
        <v>0.59058084467154925</v>
      </c>
      <c r="D10" s="57">
        <f t="shared" si="1"/>
        <v>8721.7838212268252</v>
      </c>
      <c r="E10" s="61"/>
    </row>
    <row r="11" spans="1:13" x14ac:dyDescent="0.45">
      <c r="A11" s="4">
        <f t="shared" si="2"/>
        <v>2032</v>
      </c>
      <c r="B11" s="13">
        <f>Projections!H$43</f>
        <v>16244.960008286722</v>
      </c>
      <c r="C11" s="56">
        <f t="shared" si="0"/>
        <v>0.54095264597128079</v>
      </c>
      <c r="D11" s="57">
        <f t="shared" si="1"/>
        <v>8787.754100180342</v>
      </c>
      <c r="E11" s="61"/>
    </row>
    <row r="12" spans="1:13" x14ac:dyDescent="0.45">
      <c r="A12" s="4">
        <f t="shared" si="2"/>
        <v>2033</v>
      </c>
      <c r="B12" s="13">
        <f>Projections!I$43</f>
        <v>17869.456009115398</v>
      </c>
      <c r="C12" s="56">
        <f t="shared" si="0"/>
        <v>0.49549484685043504</v>
      </c>
      <c r="D12" s="57">
        <f t="shared" si="1"/>
        <v>8854.2233685372212</v>
      </c>
      <c r="E12" s="61"/>
    </row>
    <row r="13" spans="1:13" x14ac:dyDescent="0.45">
      <c r="A13" s="4">
        <f>A12+1</f>
        <v>2034</v>
      </c>
      <c r="B13" s="13">
        <f>Projections!J$43</f>
        <v>19333.276822483211</v>
      </c>
      <c r="C13" s="56">
        <f t="shared" si="0"/>
        <v>0.45385699669610369</v>
      </c>
      <c r="D13" s="57">
        <f t="shared" si="1"/>
        <v>8774.5429549466207</v>
      </c>
      <c r="E13" s="61"/>
    </row>
    <row r="14" spans="1:13" x14ac:dyDescent="0.45">
      <c r="A14" s="4">
        <f>A13+1</f>
        <v>2035</v>
      </c>
      <c r="B14" s="13">
        <f>Projections!K$43</f>
        <v>20299.940663607376</v>
      </c>
      <c r="C14" s="56">
        <f t="shared" si="0"/>
        <v>0.41571809426341799</v>
      </c>
      <c r="D14" s="57">
        <f t="shared" si="1"/>
        <v>8439.0526463353235</v>
      </c>
      <c r="E14" s="61" t="s">
        <v>170</v>
      </c>
    </row>
    <row r="15" spans="1:13" x14ac:dyDescent="0.45">
      <c r="E15" s="61"/>
    </row>
    <row r="16" spans="1:13" x14ac:dyDescent="0.45">
      <c r="A16" s="65" t="s">
        <v>151</v>
      </c>
      <c r="D16" s="58">
        <f>SUM(D5:D14)</f>
        <v>78702.667328799522</v>
      </c>
      <c r="E16" s="61"/>
    </row>
    <row r="17" spans="1:5" x14ac:dyDescent="0.45">
      <c r="E17" s="61"/>
    </row>
    <row r="18" spans="1:5" x14ac:dyDescent="0.45">
      <c r="E18" s="61"/>
    </row>
    <row r="19" spans="1:5" ht="15.75" x14ac:dyDescent="0.5">
      <c r="A19" s="66" t="s">
        <v>152</v>
      </c>
      <c r="E19" s="61"/>
    </row>
    <row r="20" spans="1:5" x14ac:dyDescent="0.45">
      <c r="A20" s="4" t="s">
        <v>153</v>
      </c>
      <c r="B20" s="25">
        <v>2.5000000000000001E-2</v>
      </c>
      <c r="E20" s="61"/>
    </row>
    <row r="21" spans="1:5" x14ac:dyDescent="0.45">
      <c r="A21" s="4" t="s">
        <v>155</v>
      </c>
      <c r="D21" s="13">
        <f>B14*(1+B20)</f>
        <v>20807.439180197558</v>
      </c>
      <c r="E21" s="61" t="s">
        <v>171</v>
      </c>
    </row>
    <row r="22" spans="1:5" x14ac:dyDescent="0.45">
      <c r="A22" s="4" t="s">
        <v>154</v>
      </c>
      <c r="D22" s="13">
        <f>D21/(D3-B20)</f>
        <v>311758.25440357358</v>
      </c>
      <c r="E22" s="61" t="s">
        <v>172</v>
      </c>
    </row>
    <row r="23" spans="1:5" x14ac:dyDescent="0.45">
      <c r="A23" s="4" t="s">
        <v>156</v>
      </c>
      <c r="D23" s="46">
        <f>D22*C14</f>
        <v>129603.54739154344</v>
      </c>
      <c r="E23" s="61" t="s">
        <v>173</v>
      </c>
    </row>
    <row r="24" spans="1:5" x14ac:dyDescent="0.45">
      <c r="E24" s="61"/>
    </row>
    <row r="25" spans="1:5" x14ac:dyDescent="0.45">
      <c r="E25" s="61"/>
    </row>
    <row r="26" spans="1:5" ht="15.75" x14ac:dyDescent="0.5">
      <c r="A26" s="67" t="s">
        <v>157</v>
      </c>
      <c r="E26" s="61"/>
    </row>
    <row r="27" spans="1:5" x14ac:dyDescent="0.45">
      <c r="A27" s="4" t="s">
        <v>158</v>
      </c>
      <c r="D27" s="57">
        <f>D16</f>
        <v>78702.667328799522</v>
      </c>
      <c r="E27" s="61"/>
    </row>
    <row r="28" spans="1:5" x14ac:dyDescent="0.45">
      <c r="A28" s="4" t="s">
        <v>159</v>
      </c>
      <c r="D28" s="13">
        <f>D23</f>
        <v>129603.54739154344</v>
      </c>
      <c r="E28" s="61"/>
    </row>
    <row r="29" spans="1:5" x14ac:dyDescent="0.45">
      <c r="A29" s="68" t="s">
        <v>160</v>
      </c>
      <c r="B29" s="59"/>
      <c r="C29" s="59"/>
      <c r="D29" s="60">
        <f>D27+D28</f>
        <v>208306.21472034295</v>
      </c>
      <c r="E29" s="61" t="s">
        <v>174</v>
      </c>
    </row>
    <row r="30" spans="1:5" x14ac:dyDescent="0.45">
      <c r="E30" s="61"/>
    </row>
    <row r="31" spans="1:5" ht="15.75" x14ac:dyDescent="0.5">
      <c r="A31" s="66" t="s">
        <v>161</v>
      </c>
      <c r="E31" s="61"/>
    </row>
    <row r="32" spans="1:5" x14ac:dyDescent="0.45">
      <c r="A32" s="4" t="s">
        <v>160</v>
      </c>
      <c r="D32" s="13">
        <f>D29</f>
        <v>208306.21472034295</v>
      </c>
      <c r="E32" s="61"/>
    </row>
    <row r="33" spans="1:5" x14ac:dyDescent="0.45">
      <c r="E33" s="61"/>
    </row>
    <row r="34" spans="1:5" x14ac:dyDescent="0.45">
      <c r="A34" s="4" t="s">
        <v>162</v>
      </c>
      <c r="D34" s="13">
        <f>'Historical Financials'!F19</f>
        <v>12916</v>
      </c>
      <c r="E34" s="61"/>
    </row>
    <row r="35" spans="1:5" x14ac:dyDescent="0.45">
      <c r="A35" s="4" t="s">
        <v>163</v>
      </c>
      <c r="D35" s="13">
        <f>-'Historical Financials'!F20</f>
        <v>-30955</v>
      </c>
      <c r="E35" s="61"/>
    </row>
    <row r="36" spans="1:5" x14ac:dyDescent="0.45">
      <c r="A36" s="4" t="s">
        <v>164</v>
      </c>
      <c r="D36" s="13">
        <f>D32+D34+D35</f>
        <v>190267.21472034295</v>
      </c>
      <c r="E36" s="61" t="s">
        <v>175</v>
      </c>
    </row>
    <row r="37" spans="1:5" x14ac:dyDescent="0.45">
      <c r="E37" s="61"/>
    </row>
    <row r="38" spans="1:5" x14ac:dyDescent="0.45">
      <c r="E38" s="61"/>
    </row>
    <row r="39" spans="1:5" x14ac:dyDescent="0.45">
      <c r="A39" s="4" t="s">
        <v>165</v>
      </c>
      <c r="D39">
        <v>388.15</v>
      </c>
      <c r="E39" s="61" t="s">
        <v>176</v>
      </c>
    </row>
    <row r="40" spans="1:5" ht="18" x14ac:dyDescent="0.55000000000000004">
      <c r="A40" s="69" t="s">
        <v>166</v>
      </c>
      <c r="B40" s="63"/>
      <c r="C40" s="63"/>
      <c r="D40" s="82">
        <f>D36/D39</f>
        <v>490.18991297267286</v>
      </c>
      <c r="E40" s="62"/>
    </row>
    <row r="41" spans="1:5" x14ac:dyDescent="0.45">
      <c r="E41" s="61"/>
    </row>
    <row r="42" spans="1:5" x14ac:dyDescent="0.45">
      <c r="A42" s="4" t="s">
        <v>167</v>
      </c>
      <c r="D42" s="81">
        <v>1204</v>
      </c>
      <c r="E42" s="61"/>
    </row>
    <row r="43" spans="1:5" x14ac:dyDescent="0.45">
      <c r="A43" s="4" t="s">
        <v>168</v>
      </c>
      <c r="D43" s="23">
        <f>(D40-D42)/D42</f>
        <v>-0.59286552078681665</v>
      </c>
      <c r="E43" s="61"/>
    </row>
  </sheetData>
  <mergeCells count="2">
    <mergeCell ref="A1:E1"/>
    <mergeCell ref="A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9B576-087E-4923-8CBB-5414BB9CE365}">
  <dimension ref="A1:L49"/>
  <sheetViews>
    <sheetView showGridLines="0" topLeftCell="A9" zoomScale="80" workbookViewId="0">
      <selection activeCell="B46" sqref="B46"/>
    </sheetView>
  </sheetViews>
  <sheetFormatPr defaultRowHeight="14.25" x14ac:dyDescent="0.45"/>
  <cols>
    <col min="1" max="1" width="35.73046875" bestFit="1" customWidth="1"/>
  </cols>
  <sheetData>
    <row r="1" spans="1:12" ht="18" x14ac:dyDescent="0.55000000000000004">
      <c r="A1" s="104" t="s">
        <v>103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</row>
    <row r="2" spans="1:12" x14ac:dyDescent="0.45">
      <c r="A2" s="105" t="s">
        <v>104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</row>
    <row r="3" spans="1:12" x14ac:dyDescent="0.45">
      <c r="A3" s="38" t="s">
        <v>105</v>
      </c>
      <c r="B3" s="38" t="s">
        <v>106</v>
      </c>
      <c r="C3" s="38" t="s">
        <v>107</v>
      </c>
      <c r="D3" s="38" t="s">
        <v>108</v>
      </c>
      <c r="E3" s="38" t="s">
        <v>109</v>
      </c>
      <c r="F3" s="38" t="s">
        <v>110</v>
      </c>
      <c r="G3" s="38" t="s">
        <v>111</v>
      </c>
      <c r="H3" s="38" t="s">
        <v>112</v>
      </c>
      <c r="I3" s="38" t="s">
        <v>113</v>
      </c>
      <c r="J3" s="38" t="s">
        <v>114</v>
      </c>
      <c r="K3" s="38" t="s">
        <v>115</v>
      </c>
    </row>
    <row r="6" spans="1:12" ht="15.75" x14ac:dyDescent="0.5">
      <c r="A6" s="21" t="s">
        <v>116</v>
      </c>
    </row>
    <row r="7" spans="1:12" x14ac:dyDescent="0.45">
      <c r="A7" s="39" t="s">
        <v>117</v>
      </c>
      <c r="B7" s="40">
        <v>0.15</v>
      </c>
      <c r="C7" s="40">
        <v>0.15</v>
      </c>
      <c r="D7" s="40">
        <v>0.15</v>
      </c>
      <c r="E7" s="40">
        <v>0.15</v>
      </c>
      <c r="F7" s="40">
        <v>0.1</v>
      </c>
      <c r="G7" s="40">
        <v>0.1</v>
      </c>
      <c r="H7" s="40">
        <v>0.1</v>
      </c>
      <c r="I7" s="40">
        <v>0.1</v>
      </c>
      <c r="J7" s="40">
        <v>0.05</v>
      </c>
      <c r="K7" s="40">
        <v>0.05</v>
      </c>
    </row>
    <row r="9" spans="1:12" x14ac:dyDescent="0.45">
      <c r="A9" s="1" t="s">
        <v>118</v>
      </c>
    </row>
    <row r="10" spans="1:12" x14ac:dyDescent="0.45">
      <c r="A10" s="1" t="s">
        <v>93</v>
      </c>
      <c r="B10" s="24">
        <v>0.56999999999999995</v>
      </c>
      <c r="C10" s="24">
        <v>0.56999999999999995</v>
      </c>
      <c r="D10" s="24">
        <v>0.56999999999999995</v>
      </c>
      <c r="E10" s="24">
        <v>0.56999999999999995</v>
      </c>
      <c r="F10" s="24">
        <v>0.56999999999999995</v>
      </c>
      <c r="G10" s="24">
        <v>0.56999999999999995</v>
      </c>
      <c r="H10" s="24">
        <v>0.56999999999999995</v>
      </c>
      <c r="I10" s="24">
        <v>0.56999999999999995</v>
      </c>
      <c r="J10" s="24">
        <v>0.56999999999999995</v>
      </c>
      <c r="K10" s="24">
        <v>0.56999999999999995</v>
      </c>
    </row>
    <row r="11" spans="1:12" x14ac:dyDescent="0.45">
      <c r="A11" s="1" t="s">
        <v>119</v>
      </c>
      <c r="B11" s="24">
        <v>0.375</v>
      </c>
      <c r="C11" s="24">
        <v>0.375</v>
      </c>
      <c r="D11" s="24">
        <v>0.375</v>
      </c>
      <c r="E11" s="24">
        <v>0.375</v>
      </c>
      <c r="F11" s="24">
        <v>0.375</v>
      </c>
      <c r="G11" s="24">
        <v>0.375</v>
      </c>
      <c r="H11" s="24">
        <v>0.375</v>
      </c>
      <c r="I11" s="24">
        <v>0.375</v>
      </c>
      <c r="J11" s="24">
        <v>0.375</v>
      </c>
      <c r="K11" s="24">
        <v>0.375</v>
      </c>
    </row>
    <row r="12" spans="1:12" x14ac:dyDescent="0.45">
      <c r="A12" s="1" t="s">
        <v>120</v>
      </c>
      <c r="B12" s="24">
        <v>0.25</v>
      </c>
      <c r="C12" s="24">
        <v>0.25</v>
      </c>
      <c r="D12" s="24">
        <v>0.25</v>
      </c>
      <c r="E12" s="24">
        <v>0.25</v>
      </c>
      <c r="F12" s="24">
        <v>0.25</v>
      </c>
      <c r="G12" s="24">
        <v>0.25</v>
      </c>
      <c r="H12" s="24">
        <v>0.25</v>
      </c>
      <c r="I12" s="24">
        <v>0.25</v>
      </c>
      <c r="J12" s="24">
        <v>0.25</v>
      </c>
      <c r="K12" s="24">
        <v>0.25</v>
      </c>
    </row>
    <row r="13" spans="1:12" x14ac:dyDescent="0.45">
      <c r="A13" s="1"/>
    </row>
    <row r="14" spans="1:12" x14ac:dyDescent="0.45">
      <c r="A14" s="1" t="s">
        <v>121</v>
      </c>
    </row>
    <row r="15" spans="1:12" x14ac:dyDescent="0.45">
      <c r="A15" t="s">
        <v>122</v>
      </c>
      <c r="B15" s="24">
        <v>0.09</v>
      </c>
      <c r="C15" s="24">
        <v>0.09</v>
      </c>
      <c r="D15" s="24">
        <v>0.09</v>
      </c>
      <c r="E15" s="24">
        <v>0.09</v>
      </c>
      <c r="F15" s="24">
        <v>0.09</v>
      </c>
      <c r="G15" s="24">
        <v>0.09</v>
      </c>
      <c r="H15" s="24">
        <v>0.09</v>
      </c>
      <c r="I15" s="24">
        <v>0.09</v>
      </c>
      <c r="J15" s="24">
        <v>0.09</v>
      </c>
      <c r="K15" s="24">
        <v>0.09</v>
      </c>
    </row>
    <row r="16" spans="1:12" x14ac:dyDescent="0.45">
      <c r="A16" t="s">
        <v>123</v>
      </c>
      <c r="B16" s="24">
        <v>0.1</v>
      </c>
      <c r="C16" s="24">
        <v>0.1</v>
      </c>
      <c r="D16" s="24">
        <v>0.1</v>
      </c>
      <c r="E16" s="24">
        <v>0.1</v>
      </c>
      <c r="F16" s="24">
        <v>0.1</v>
      </c>
      <c r="G16" s="24">
        <v>0.1</v>
      </c>
      <c r="H16" s="24">
        <v>0.1</v>
      </c>
      <c r="I16" s="24">
        <v>0.1</v>
      </c>
      <c r="J16" s="24">
        <v>0.1</v>
      </c>
      <c r="K16" s="24">
        <v>0.1</v>
      </c>
    </row>
    <row r="17" spans="1:11" x14ac:dyDescent="0.45">
      <c r="A17" t="s">
        <v>124</v>
      </c>
      <c r="B17" s="24">
        <v>0.15</v>
      </c>
      <c r="C17" s="24">
        <v>0.15</v>
      </c>
      <c r="D17" s="24">
        <v>0.15</v>
      </c>
      <c r="E17" s="24">
        <v>0.15</v>
      </c>
      <c r="F17" s="24">
        <v>0.15</v>
      </c>
      <c r="G17" s="24">
        <v>0.15</v>
      </c>
      <c r="H17" s="24">
        <v>0.15</v>
      </c>
      <c r="I17" s="24">
        <v>0.15</v>
      </c>
      <c r="J17" s="24">
        <v>0.15</v>
      </c>
      <c r="K17" s="24">
        <v>0.15</v>
      </c>
    </row>
    <row r="20" spans="1:11" x14ac:dyDescent="0.45">
      <c r="A20" s="41" t="s">
        <v>125</v>
      </c>
    </row>
    <row r="21" spans="1:11" x14ac:dyDescent="0.45">
      <c r="A21" s="1" t="s">
        <v>88</v>
      </c>
      <c r="B21" s="46">
        <f>'Historical Financials'!F6*(1+B7)</f>
        <v>37567.049999999996</v>
      </c>
      <c r="C21" s="46">
        <f>B21*(1+C7)</f>
        <v>43202.107499999991</v>
      </c>
      <c r="D21" s="46">
        <f t="shared" ref="D21:J21" si="0">C21*(1+D7)</f>
        <v>49682.423624999989</v>
      </c>
      <c r="E21" s="46">
        <f t="shared" si="0"/>
        <v>57134.787168749979</v>
      </c>
      <c r="F21" s="46">
        <f t="shared" si="0"/>
        <v>62848.265885624984</v>
      </c>
      <c r="G21" s="46">
        <f t="shared" si="0"/>
        <v>69133.092474187491</v>
      </c>
      <c r="H21" s="46">
        <f t="shared" si="0"/>
        <v>76046.401721606249</v>
      </c>
      <c r="I21" s="46">
        <f t="shared" si="0"/>
        <v>83651.041893766887</v>
      </c>
      <c r="J21" s="46">
        <f t="shared" si="0"/>
        <v>87833.593988455235</v>
      </c>
      <c r="K21" s="46">
        <f>J21*(1+K7)</f>
        <v>92225.273687877998</v>
      </c>
    </row>
    <row r="22" spans="1:11" x14ac:dyDescent="0.45">
      <c r="A22" t="s">
        <v>126</v>
      </c>
      <c r="B22" s="13">
        <f>B21*(1-B10)</f>
        <v>16153.8315</v>
      </c>
      <c r="C22" s="13">
        <f t="shared" ref="C22:K22" si="1">C21*(1-C10)</f>
        <v>18576.906224999999</v>
      </c>
      <c r="D22" s="13">
        <f t="shared" si="1"/>
        <v>21363.442158749996</v>
      </c>
      <c r="E22" s="13">
        <f t="shared" si="1"/>
        <v>24567.958482562495</v>
      </c>
      <c r="F22" s="13">
        <f t="shared" si="1"/>
        <v>27024.754330818745</v>
      </c>
      <c r="G22" s="13">
        <f t="shared" si="1"/>
        <v>29727.229763900625</v>
      </c>
      <c r="H22" s="13">
        <f t="shared" si="1"/>
        <v>32699.95274029069</v>
      </c>
      <c r="I22" s="13">
        <f t="shared" si="1"/>
        <v>35969.948014319765</v>
      </c>
      <c r="J22" s="13">
        <f t="shared" si="1"/>
        <v>37768.445415035756</v>
      </c>
      <c r="K22" s="13">
        <f t="shared" si="1"/>
        <v>39656.867685787547</v>
      </c>
    </row>
    <row r="23" spans="1:11" s="1" customFormat="1" x14ac:dyDescent="0.45">
      <c r="A23" s="1" t="s">
        <v>63</v>
      </c>
      <c r="B23" s="46">
        <f>B21-B22</f>
        <v>21413.218499999995</v>
      </c>
      <c r="C23" s="46">
        <f t="shared" ref="C23:K23" si="2">C21-C22</f>
        <v>24625.201274999992</v>
      </c>
      <c r="D23" s="46">
        <f t="shared" si="2"/>
        <v>28318.981466249992</v>
      </c>
      <c r="E23" s="46">
        <f t="shared" si="2"/>
        <v>32566.828686187484</v>
      </c>
      <c r="F23" s="46">
        <f t="shared" si="2"/>
        <v>35823.511554806239</v>
      </c>
      <c r="G23" s="46">
        <f t="shared" si="2"/>
        <v>39405.862710286863</v>
      </c>
      <c r="H23" s="46">
        <f t="shared" si="2"/>
        <v>43346.44898131556</v>
      </c>
      <c r="I23" s="46">
        <f t="shared" si="2"/>
        <v>47681.093879447122</v>
      </c>
      <c r="J23" s="46">
        <f t="shared" si="2"/>
        <v>50065.148573419479</v>
      </c>
      <c r="K23" s="46">
        <f t="shared" si="2"/>
        <v>52568.406002090451</v>
      </c>
    </row>
    <row r="24" spans="1:11" x14ac:dyDescent="0.45"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spans="1:11" x14ac:dyDescent="0.45">
      <c r="A25" t="s">
        <v>127</v>
      </c>
      <c r="B25" s="13">
        <f>B21*'Historical Financials'!$I$10</f>
        <v>5493.2339233008734</v>
      </c>
      <c r="C25" s="13">
        <f>C21*'Historical Financials'!$I$10</f>
        <v>6317.2190117960035</v>
      </c>
      <c r="D25" s="13">
        <f>D21*'Historical Financials'!$I$10</f>
        <v>7264.8018635654043</v>
      </c>
      <c r="E25" s="13">
        <f>E21*'Historical Financials'!$I$10</f>
        <v>8354.5221431002137</v>
      </c>
      <c r="F25" s="13">
        <f>F21*'Historical Financials'!$I$10</f>
        <v>9189.9743574102358</v>
      </c>
      <c r="G25" s="13">
        <f>G21*'Historical Financials'!$I$10</f>
        <v>10108.97179315126</v>
      </c>
      <c r="H25" s="13">
        <f>H21*'Historical Financials'!$I$10</f>
        <v>11119.868972466389</v>
      </c>
      <c r="I25" s="13">
        <f>I21*'Historical Financials'!$I$10</f>
        <v>12231.855869713028</v>
      </c>
      <c r="J25" s="13">
        <f>J21*'Historical Financials'!$I$10</f>
        <v>12843.448663198682</v>
      </c>
      <c r="K25" s="13">
        <f>K21*'Historical Financials'!$I$10</f>
        <v>13485.621096358615</v>
      </c>
    </row>
    <row r="26" spans="1:11" x14ac:dyDescent="0.45">
      <c r="A26" t="s">
        <v>129</v>
      </c>
      <c r="B26" s="13">
        <f>B21*'Historical Financials'!$I$12</f>
        <v>1531.5333158356073</v>
      </c>
      <c r="C26" s="13">
        <f>C21*'Historical Financials'!$I$12</f>
        <v>1761.2633132109481</v>
      </c>
      <c r="D26" s="13">
        <f>D21*'Historical Financials'!$I$12</f>
        <v>2025.4528101925903</v>
      </c>
      <c r="E26" s="13">
        <f>E21*'Historical Financials'!$I$12</f>
        <v>2329.2707317214786</v>
      </c>
      <c r="F26" s="13">
        <f>F21*'Historical Financials'!$I$12</f>
        <v>2562.1978048936267</v>
      </c>
      <c r="G26" s="13">
        <f>G21*'Historical Financials'!$I$12</f>
        <v>2818.4175853829897</v>
      </c>
      <c r="H26" s="13">
        <f>H21*'Historical Financials'!$I$12</f>
        <v>3100.2593439212887</v>
      </c>
      <c r="I26" s="13">
        <f>I21*'Historical Financials'!$I$12</f>
        <v>3410.2852783134185</v>
      </c>
      <c r="J26" s="13">
        <f>J21*'Historical Financials'!$I$12</f>
        <v>3580.7995422290896</v>
      </c>
      <c r="K26" s="13">
        <f>K21*'Historical Financials'!$I$12</f>
        <v>3759.839519340544</v>
      </c>
    </row>
    <row r="27" spans="1:11" x14ac:dyDescent="0.45">
      <c r="B27" s="13"/>
      <c r="C27" s="13"/>
      <c r="D27" s="13"/>
      <c r="E27" s="13"/>
      <c r="F27" s="13"/>
      <c r="G27" s="13"/>
      <c r="H27" s="13"/>
      <c r="I27" s="13"/>
      <c r="J27" s="13"/>
      <c r="K27" s="13"/>
    </row>
    <row r="28" spans="1:11" x14ac:dyDescent="0.45">
      <c r="A28" t="s">
        <v>130</v>
      </c>
      <c r="B28" s="13">
        <f>B25+B26</f>
        <v>7024.7672391364804</v>
      </c>
      <c r="C28" s="13">
        <f t="shared" ref="C28:K28" si="3">C25+C26</f>
        <v>8078.4823250069512</v>
      </c>
      <c r="D28" s="13">
        <f t="shared" si="3"/>
        <v>9290.2546737579942</v>
      </c>
      <c r="E28" s="13">
        <f t="shared" si="3"/>
        <v>10683.792874821693</v>
      </c>
      <c r="F28" s="13">
        <f t="shared" si="3"/>
        <v>11752.172162303863</v>
      </c>
      <c r="G28" s="13">
        <f t="shared" si="3"/>
        <v>12927.38937853425</v>
      </c>
      <c r="H28" s="13">
        <f t="shared" si="3"/>
        <v>14220.128316387678</v>
      </c>
      <c r="I28" s="13">
        <f t="shared" si="3"/>
        <v>15642.141148026447</v>
      </c>
      <c r="J28" s="13">
        <f t="shared" si="3"/>
        <v>16424.248205427772</v>
      </c>
      <c r="K28" s="13">
        <f t="shared" si="3"/>
        <v>17245.460615699158</v>
      </c>
    </row>
    <row r="29" spans="1:11" x14ac:dyDescent="0.45">
      <c r="B29" s="13"/>
      <c r="C29" s="13"/>
      <c r="D29" s="13"/>
      <c r="E29" s="13"/>
      <c r="F29" s="13"/>
      <c r="G29" s="13"/>
      <c r="H29" s="13"/>
      <c r="I29" s="13"/>
      <c r="J29" s="13"/>
      <c r="K29" s="13"/>
    </row>
    <row r="30" spans="1:11" x14ac:dyDescent="0.45">
      <c r="A30" s="1" t="s">
        <v>131</v>
      </c>
      <c r="B30" s="13">
        <f>B23-B28</f>
        <v>14388.451260863516</v>
      </c>
      <c r="C30" s="13">
        <f t="shared" ref="C30:K30" si="4">C23-C28</f>
        <v>16546.718949993039</v>
      </c>
      <c r="D30" s="13">
        <f t="shared" si="4"/>
        <v>19028.726792491998</v>
      </c>
      <c r="E30" s="13">
        <f t="shared" si="4"/>
        <v>21883.035811365793</v>
      </c>
      <c r="F30" s="13">
        <f t="shared" si="4"/>
        <v>24071.339392502377</v>
      </c>
      <c r="G30" s="13">
        <f t="shared" si="4"/>
        <v>26478.473331752612</v>
      </c>
      <c r="H30" s="13">
        <f t="shared" si="4"/>
        <v>29126.32066492788</v>
      </c>
      <c r="I30" s="13">
        <f t="shared" si="4"/>
        <v>32038.952731420675</v>
      </c>
      <c r="J30" s="13">
        <f t="shared" si="4"/>
        <v>33640.900367991708</v>
      </c>
      <c r="K30" s="13">
        <f t="shared" si="4"/>
        <v>35322.945386391293</v>
      </c>
    </row>
    <row r="31" spans="1:11" x14ac:dyDescent="0.45">
      <c r="B31" s="13"/>
      <c r="C31" s="13"/>
      <c r="D31" s="13"/>
      <c r="E31" s="13"/>
      <c r="F31" s="13"/>
      <c r="G31" s="13"/>
      <c r="H31" s="13"/>
      <c r="I31" s="13"/>
      <c r="J31" s="13"/>
      <c r="K31" s="13"/>
    </row>
    <row r="32" spans="1:11" x14ac:dyDescent="0.45">
      <c r="A32" t="s">
        <v>132</v>
      </c>
      <c r="B32" s="13">
        <f>B30*B12</f>
        <v>3597.112815215879</v>
      </c>
      <c r="C32" s="13">
        <f t="shared" ref="C32:K32" si="5">C30*C12</f>
        <v>4136.6797374982598</v>
      </c>
      <c r="D32" s="13">
        <f t="shared" si="5"/>
        <v>4757.1816981229995</v>
      </c>
      <c r="E32" s="13">
        <f t="shared" si="5"/>
        <v>5470.7589528414483</v>
      </c>
      <c r="F32" s="13">
        <f t="shared" si="5"/>
        <v>6017.8348481255944</v>
      </c>
      <c r="G32" s="13">
        <f t="shared" si="5"/>
        <v>6619.6183329381529</v>
      </c>
      <c r="H32" s="13">
        <f t="shared" si="5"/>
        <v>7281.58016623197</v>
      </c>
      <c r="I32" s="13">
        <f t="shared" si="5"/>
        <v>8009.7381828551688</v>
      </c>
      <c r="J32" s="13">
        <f t="shared" si="5"/>
        <v>8410.2250919979269</v>
      </c>
      <c r="K32" s="13">
        <f t="shared" si="5"/>
        <v>8830.7363465978233</v>
      </c>
    </row>
    <row r="33" spans="1:11" x14ac:dyDescent="0.45">
      <c r="B33" s="13"/>
      <c r="C33" s="13"/>
      <c r="D33" s="13"/>
      <c r="E33" s="13"/>
      <c r="F33" s="13"/>
      <c r="G33" s="13"/>
      <c r="H33" s="13"/>
      <c r="I33" s="13"/>
      <c r="J33" s="13"/>
      <c r="K33" s="13"/>
    </row>
    <row r="34" spans="1:11" s="1" customFormat="1" x14ac:dyDescent="0.45">
      <c r="A34" s="49" t="s">
        <v>133</v>
      </c>
      <c r="B34" s="50">
        <f t="shared" ref="B34:K34" si="6">B30-B32</f>
        <v>10791.338445647638</v>
      </c>
      <c r="C34" s="50">
        <f t="shared" si="6"/>
        <v>12410.039212494779</v>
      </c>
      <c r="D34" s="50">
        <f t="shared" si="6"/>
        <v>14271.545094368998</v>
      </c>
      <c r="E34" s="50">
        <f t="shared" si="6"/>
        <v>16412.276858524347</v>
      </c>
      <c r="F34" s="50">
        <f t="shared" si="6"/>
        <v>18053.504544376781</v>
      </c>
      <c r="G34" s="50">
        <f t="shared" si="6"/>
        <v>19858.854998814459</v>
      </c>
      <c r="H34" s="50">
        <f t="shared" si="6"/>
        <v>21844.740498695908</v>
      </c>
      <c r="I34" s="50">
        <f t="shared" si="6"/>
        <v>24029.214548565506</v>
      </c>
      <c r="J34" s="50">
        <f t="shared" si="6"/>
        <v>25230.675275993781</v>
      </c>
      <c r="K34" s="50">
        <f t="shared" si="6"/>
        <v>26492.20903979347</v>
      </c>
    </row>
    <row r="35" spans="1:11" x14ac:dyDescent="0.45">
      <c r="B35" s="13"/>
      <c r="C35" s="13"/>
      <c r="D35" s="13"/>
      <c r="E35" s="13"/>
      <c r="F35" s="13"/>
      <c r="G35" s="13"/>
      <c r="H35" s="13"/>
      <c r="I35" s="13"/>
      <c r="J35" s="13"/>
      <c r="K35" s="13"/>
    </row>
    <row r="36" spans="1:11" x14ac:dyDescent="0.45"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5.75" x14ac:dyDescent="0.5">
      <c r="A37" s="44" t="s">
        <v>134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</row>
    <row r="38" spans="1:11" x14ac:dyDescent="0.45">
      <c r="A38" t="s">
        <v>135</v>
      </c>
      <c r="B38" s="13">
        <f>B21*0.03</f>
        <v>1127.0114999999998</v>
      </c>
      <c r="C38" s="13">
        <f t="shared" ref="C38:K38" si="7">C21*0.03</f>
        <v>1296.0632249999996</v>
      </c>
      <c r="D38" s="13">
        <f t="shared" si="7"/>
        <v>1490.4727087499996</v>
      </c>
      <c r="E38" s="13">
        <f t="shared" si="7"/>
        <v>1714.0436150624994</v>
      </c>
      <c r="F38" s="13">
        <f t="shared" si="7"/>
        <v>1885.4479765687495</v>
      </c>
      <c r="G38" s="13">
        <f t="shared" si="7"/>
        <v>2073.9927742256245</v>
      </c>
      <c r="H38" s="13">
        <f t="shared" si="7"/>
        <v>2281.3920516481876</v>
      </c>
      <c r="I38" s="13">
        <f t="shared" si="7"/>
        <v>2509.5312568130066</v>
      </c>
      <c r="J38" s="13">
        <f t="shared" si="7"/>
        <v>2635.007819653657</v>
      </c>
      <c r="K38" s="13">
        <f t="shared" si="7"/>
        <v>2766.7582106363398</v>
      </c>
    </row>
    <row r="39" spans="1:11" x14ac:dyDescent="0.45">
      <c r="A39" t="s">
        <v>136</v>
      </c>
      <c r="B39" s="13">
        <f>B21*B15</f>
        <v>3381.0344999999993</v>
      </c>
      <c r="C39" s="13">
        <f t="shared" ref="C39:K39" si="8">C21*C15</f>
        <v>3888.1896749999992</v>
      </c>
      <c r="D39" s="13">
        <f t="shared" si="8"/>
        <v>4471.4181262499987</v>
      </c>
      <c r="E39" s="13">
        <f t="shared" si="8"/>
        <v>5142.1308451874984</v>
      </c>
      <c r="F39" s="13">
        <f t="shared" si="8"/>
        <v>5656.3439297062487</v>
      </c>
      <c r="G39" s="13">
        <f t="shared" si="8"/>
        <v>6221.9783226768741</v>
      </c>
      <c r="H39" s="13">
        <f t="shared" si="8"/>
        <v>6844.1761549445619</v>
      </c>
      <c r="I39" s="13">
        <f t="shared" si="8"/>
        <v>7528.5937704390199</v>
      </c>
      <c r="J39" s="13">
        <f t="shared" si="8"/>
        <v>7905.0234589609709</v>
      </c>
      <c r="K39" s="13">
        <f t="shared" si="8"/>
        <v>8300.2746319090202</v>
      </c>
    </row>
    <row r="40" spans="1:11" x14ac:dyDescent="0.45">
      <c r="A40" t="s">
        <v>137</v>
      </c>
      <c r="B40" s="13">
        <f>B21*B17</f>
        <v>5635.057499999999</v>
      </c>
      <c r="C40" s="13">
        <f t="shared" ref="C40:K40" si="9">C21*C17</f>
        <v>6480.3161249999985</v>
      </c>
      <c r="D40" s="13">
        <f t="shared" si="9"/>
        <v>7452.3635437499979</v>
      </c>
      <c r="E40" s="13">
        <f t="shared" si="9"/>
        <v>8570.2180753124958</v>
      </c>
      <c r="F40" s="13">
        <f t="shared" si="9"/>
        <v>9427.2398828437472</v>
      </c>
      <c r="G40" s="13">
        <f t="shared" si="9"/>
        <v>10369.963871128124</v>
      </c>
      <c r="H40" s="13">
        <f t="shared" si="9"/>
        <v>11406.960258240937</v>
      </c>
      <c r="I40" s="13">
        <f t="shared" si="9"/>
        <v>12547.656284065033</v>
      </c>
      <c r="J40" s="13">
        <f t="shared" si="9"/>
        <v>13175.039098268286</v>
      </c>
      <c r="K40" s="13">
        <f t="shared" si="9"/>
        <v>13833.7910531817</v>
      </c>
    </row>
    <row r="41" spans="1:11" x14ac:dyDescent="0.45">
      <c r="A41" t="s">
        <v>138</v>
      </c>
      <c r="B41" s="13">
        <f>B40</f>
        <v>5635.057499999999</v>
      </c>
      <c r="C41" s="13">
        <f>C40-B40</f>
        <v>845.25862499999948</v>
      </c>
      <c r="D41" s="13">
        <f t="shared" ref="D41:K41" si="10">D40-C40</f>
        <v>972.04741874999945</v>
      </c>
      <c r="E41" s="13">
        <f t="shared" si="10"/>
        <v>1117.8545315624979</v>
      </c>
      <c r="F41" s="13">
        <f t="shared" si="10"/>
        <v>857.0218075312514</v>
      </c>
      <c r="G41" s="13">
        <f t="shared" si="10"/>
        <v>942.7239882843769</v>
      </c>
      <c r="H41" s="13">
        <f t="shared" si="10"/>
        <v>1036.996387112813</v>
      </c>
      <c r="I41" s="13">
        <f t="shared" si="10"/>
        <v>1140.6960258240961</v>
      </c>
      <c r="J41" s="13">
        <f t="shared" si="10"/>
        <v>627.38281420325256</v>
      </c>
      <c r="K41" s="13">
        <f t="shared" si="10"/>
        <v>658.75195491341401</v>
      </c>
    </row>
    <row r="42" spans="1:11" x14ac:dyDescent="0.45">
      <c r="B42" s="13"/>
      <c r="C42" s="13"/>
      <c r="D42" s="13"/>
      <c r="E42" s="13"/>
      <c r="F42" s="13"/>
      <c r="G42" s="13"/>
      <c r="H42" s="13"/>
      <c r="I42" s="13"/>
      <c r="J42" s="13"/>
      <c r="K42" s="13"/>
    </row>
    <row r="43" spans="1:11" s="1" customFormat="1" x14ac:dyDescent="0.45">
      <c r="A43" s="47" t="s">
        <v>139</v>
      </c>
      <c r="B43" s="48">
        <f t="shared" ref="B43:K43" si="11">B34+B38-B39-B41</f>
        <v>2902.2579456476396</v>
      </c>
      <c r="C43" s="48">
        <f t="shared" si="11"/>
        <v>8972.654137494781</v>
      </c>
      <c r="D43" s="48">
        <f t="shared" si="11"/>
        <v>10318.552258118998</v>
      </c>
      <c r="E43" s="48">
        <f t="shared" si="11"/>
        <v>11866.33509683685</v>
      </c>
      <c r="F43" s="48">
        <f t="shared" si="11"/>
        <v>13425.586783708031</v>
      </c>
      <c r="G43" s="48">
        <f t="shared" si="11"/>
        <v>14768.145462078834</v>
      </c>
      <c r="H43" s="48">
        <f t="shared" si="11"/>
        <v>16244.960008286722</v>
      </c>
      <c r="I43" s="48">
        <f t="shared" si="11"/>
        <v>17869.456009115398</v>
      </c>
      <c r="J43" s="48">
        <f t="shared" si="11"/>
        <v>19333.276822483211</v>
      </c>
      <c r="K43" s="48">
        <f t="shared" si="11"/>
        <v>20299.940663607376</v>
      </c>
    </row>
    <row r="46" spans="1:11" ht="15.75" x14ac:dyDescent="0.5">
      <c r="A46" s="21" t="s">
        <v>140</v>
      </c>
    </row>
    <row r="47" spans="1:11" x14ac:dyDescent="0.45">
      <c r="A47" t="s">
        <v>141</v>
      </c>
      <c r="B47" s="13">
        <f>AVERAGE(B43:K43)</f>
        <v>13600.116518737783</v>
      </c>
    </row>
    <row r="48" spans="1:11" x14ac:dyDescent="0.45">
      <c r="A48" t="s">
        <v>142</v>
      </c>
      <c r="B48" s="13">
        <f>SUM(B43:K43)</f>
        <v>136001.16518737783</v>
      </c>
    </row>
    <row r="49" spans="1:2" x14ac:dyDescent="0.45">
      <c r="A49" t="s">
        <v>143</v>
      </c>
      <c r="B49" s="51">
        <f>((K21/B21)^(1/10))-1</f>
        <v>9.3967162407239568E-2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9E0BC-124D-402F-9167-EEFA7BC550DD}">
  <dimension ref="A1:C39"/>
  <sheetViews>
    <sheetView showGridLines="0" zoomScale="76" workbookViewId="0">
      <selection activeCell="C5" sqref="C5"/>
    </sheetView>
  </sheetViews>
  <sheetFormatPr defaultRowHeight="14.25" x14ac:dyDescent="0.45"/>
  <cols>
    <col min="1" max="1" width="44.53125" customWidth="1"/>
    <col min="2" max="2" width="57.796875" bestFit="1" customWidth="1"/>
    <col min="3" max="3" width="13.9296875" bestFit="1" customWidth="1"/>
    <col min="4" max="4" width="20.46484375" bestFit="1" customWidth="1"/>
    <col min="5" max="5" width="11.73046875" bestFit="1" customWidth="1"/>
    <col min="6" max="6" width="14.46484375" bestFit="1" customWidth="1"/>
  </cols>
  <sheetData>
    <row r="1" spans="1:3" ht="18" x14ac:dyDescent="0.55000000000000004">
      <c r="A1" s="104" t="s">
        <v>177</v>
      </c>
      <c r="B1" s="104"/>
      <c r="C1" s="104"/>
    </row>
    <row r="2" spans="1:3" x14ac:dyDescent="0.45">
      <c r="A2" s="105" t="s">
        <v>178</v>
      </c>
      <c r="B2" s="105"/>
      <c r="C2" s="105"/>
    </row>
    <row r="5" spans="1:3" ht="15.75" x14ac:dyDescent="0.5">
      <c r="A5" s="70" t="s">
        <v>179</v>
      </c>
    </row>
    <row r="7" spans="1:3" x14ac:dyDescent="0.45">
      <c r="A7" t="s">
        <v>180</v>
      </c>
      <c r="B7" t="s">
        <v>181</v>
      </c>
      <c r="C7" s="26">
        <v>4.2500000000000003E-3</v>
      </c>
    </row>
    <row r="8" spans="1:3" x14ac:dyDescent="0.45">
      <c r="A8" t="s">
        <v>182</v>
      </c>
      <c r="B8" t="s">
        <v>183</v>
      </c>
      <c r="C8">
        <v>1.35</v>
      </c>
    </row>
    <row r="9" spans="1:3" x14ac:dyDescent="0.45">
      <c r="A9" t="s">
        <v>184</v>
      </c>
      <c r="B9" t="s">
        <v>185</v>
      </c>
      <c r="C9">
        <v>6.5000000000000002E-2</v>
      </c>
    </row>
    <row r="11" spans="1:3" x14ac:dyDescent="0.45">
      <c r="A11" s="1" t="s">
        <v>186</v>
      </c>
      <c r="B11" t="s">
        <v>187</v>
      </c>
      <c r="C11" s="71">
        <f>C7+C8*C9</f>
        <v>9.2000000000000012E-2</v>
      </c>
    </row>
    <row r="14" spans="1:3" ht="15.75" x14ac:dyDescent="0.5">
      <c r="A14" s="70" t="s">
        <v>188</v>
      </c>
    </row>
    <row r="16" spans="1:3" x14ac:dyDescent="0.45">
      <c r="A16" t="s">
        <v>292</v>
      </c>
      <c r="B16" t="s">
        <v>295</v>
      </c>
      <c r="C16">
        <v>141</v>
      </c>
    </row>
    <row r="17" spans="1:3" x14ac:dyDescent="0.45">
      <c r="A17" t="s">
        <v>293</v>
      </c>
      <c r="B17" s="98" t="s">
        <v>294</v>
      </c>
      <c r="C17">
        <v>2709</v>
      </c>
    </row>
    <row r="19" spans="1:3" x14ac:dyDescent="0.45">
      <c r="A19" t="s">
        <v>189</v>
      </c>
      <c r="B19" t="s">
        <v>190</v>
      </c>
      <c r="C19" s="25">
        <f>C16/C17</f>
        <v>5.2048726467331122E-2</v>
      </c>
    </row>
    <row r="20" spans="1:3" x14ac:dyDescent="0.45">
      <c r="A20" t="s">
        <v>191</v>
      </c>
      <c r="B20" t="s">
        <v>192</v>
      </c>
      <c r="C20" s="24">
        <v>0.25</v>
      </c>
    </row>
    <row r="22" spans="1:3" x14ac:dyDescent="0.45">
      <c r="A22" s="1" t="s">
        <v>193</v>
      </c>
      <c r="B22" t="s">
        <v>194</v>
      </c>
      <c r="C22" s="71">
        <f>C19*(1-C20)</f>
        <v>3.9036544850498345E-2</v>
      </c>
    </row>
    <row r="25" spans="1:3" ht="15.75" x14ac:dyDescent="0.5">
      <c r="A25" s="70" t="s">
        <v>296</v>
      </c>
    </row>
    <row r="27" spans="1:3" x14ac:dyDescent="0.45">
      <c r="A27" t="s">
        <v>195</v>
      </c>
      <c r="B27" t="s">
        <v>196</v>
      </c>
      <c r="C27" s="13">
        <f>'DCF Calculation'!D42*'DCF Calculation'!D39</f>
        <v>467332.6</v>
      </c>
    </row>
    <row r="28" spans="1:3" x14ac:dyDescent="0.45">
      <c r="A28" t="s">
        <v>197</v>
      </c>
      <c r="B28" t="s">
        <v>198</v>
      </c>
      <c r="C28" s="13">
        <f>C17</f>
        <v>2709</v>
      </c>
    </row>
    <row r="30" spans="1:3" x14ac:dyDescent="0.45">
      <c r="A30" s="1" t="s">
        <v>199</v>
      </c>
      <c r="C30" s="46">
        <f>C27+C28</f>
        <v>470041.59999999998</v>
      </c>
    </row>
    <row r="32" spans="1:3" x14ac:dyDescent="0.45">
      <c r="A32" s="1" t="s">
        <v>200</v>
      </c>
      <c r="C32" s="99">
        <f>C27/C30</f>
        <v>0.99423668032786883</v>
      </c>
    </row>
    <row r="33" spans="1:3" x14ac:dyDescent="0.45">
      <c r="A33" s="1" t="s">
        <v>201</v>
      </c>
      <c r="C33" s="99">
        <f>C28/C30</f>
        <v>5.7633196721311479E-3</v>
      </c>
    </row>
    <row r="36" spans="1:3" ht="18" x14ac:dyDescent="0.55000000000000004">
      <c r="A36" s="72" t="s">
        <v>202</v>
      </c>
      <c r="B36" t="s">
        <v>203</v>
      </c>
      <c r="C36" s="73">
        <v>9.1742223778499096E-2</v>
      </c>
    </row>
    <row r="39" spans="1:3" x14ac:dyDescent="0.45">
      <c r="A39" s="1"/>
    </row>
  </sheetData>
  <mergeCells count="2">
    <mergeCell ref="A1:C1"/>
    <mergeCell ref="A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DA717-F90E-4E00-BAA2-ED24E29F5E05}">
  <dimension ref="A1:L46"/>
  <sheetViews>
    <sheetView showGridLines="0" zoomScale="67" workbookViewId="0">
      <selection activeCell="A37" sqref="A37:L45"/>
    </sheetView>
  </sheetViews>
  <sheetFormatPr defaultRowHeight="14.25" x14ac:dyDescent="0.45"/>
  <cols>
    <col min="1" max="1" width="31.1328125" customWidth="1"/>
    <col min="2" max="2" width="15.59765625" bestFit="1" customWidth="1"/>
    <col min="3" max="3" width="11.73046875" customWidth="1"/>
    <col min="4" max="4" width="11.3984375" bestFit="1" customWidth="1"/>
    <col min="5" max="6" width="12.19921875" customWidth="1"/>
    <col min="8" max="8" width="14.59765625" customWidth="1"/>
  </cols>
  <sheetData>
    <row r="1" spans="1:8" ht="18" x14ac:dyDescent="0.55000000000000004">
      <c r="A1" s="104" t="s">
        <v>204</v>
      </c>
      <c r="B1" s="104"/>
      <c r="C1" s="104"/>
      <c r="D1" s="104"/>
      <c r="E1" s="104"/>
      <c r="F1" s="104"/>
      <c r="G1" s="104"/>
      <c r="H1" s="104"/>
    </row>
    <row r="2" spans="1:8" x14ac:dyDescent="0.45">
      <c r="A2" s="105" t="s">
        <v>205</v>
      </c>
      <c r="B2" s="105"/>
      <c r="C2" s="105"/>
      <c r="D2" s="105"/>
      <c r="E2" s="105"/>
      <c r="F2" s="105"/>
    </row>
    <row r="3" spans="1:8" x14ac:dyDescent="0.45">
      <c r="A3" s="52"/>
      <c r="B3" s="52"/>
    </row>
    <row r="4" spans="1:8" ht="22.15" customHeight="1" x14ac:dyDescent="0.45">
      <c r="A4" s="74" t="s">
        <v>206</v>
      </c>
      <c r="B4" s="74" t="s">
        <v>207</v>
      </c>
      <c r="C4" s="74" t="s">
        <v>208</v>
      </c>
      <c r="D4" s="74" t="s">
        <v>209</v>
      </c>
      <c r="E4" s="74" t="s">
        <v>210</v>
      </c>
      <c r="F4" s="74" t="s">
        <v>211</v>
      </c>
      <c r="G4" s="74" t="s">
        <v>212</v>
      </c>
      <c r="H4" s="74" t="s">
        <v>213</v>
      </c>
    </row>
    <row r="5" spans="1:8" x14ac:dyDescent="0.45">
      <c r="A5" s="75" t="s">
        <v>214</v>
      </c>
      <c r="B5" s="75">
        <v>545.70000000000005</v>
      </c>
      <c r="C5" s="78">
        <f>WACC!C30/'Historical Financials'!F11</f>
        <v>38.131061896649626</v>
      </c>
      <c r="D5" s="78">
        <v>48.46</v>
      </c>
      <c r="E5" s="78">
        <v>13.86</v>
      </c>
      <c r="F5" s="76">
        <v>0.56999999999999995</v>
      </c>
      <c r="G5" s="75">
        <v>1.35</v>
      </c>
      <c r="H5" s="77">
        <v>4.9000000000000002E-2</v>
      </c>
    </row>
    <row r="6" spans="1:8" ht="27" x14ac:dyDescent="0.45">
      <c r="A6" s="75" t="s">
        <v>215</v>
      </c>
      <c r="B6" s="75">
        <v>255.98</v>
      </c>
      <c r="C6" s="78">
        <v>25.51</v>
      </c>
      <c r="D6" s="78">
        <v>37.24</v>
      </c>
      <c r="E6" s="78">
        <v>8.9700000000000006</v>
      </c>
      <c r="F6" s="76">
        <v>0.48670000000000002</v>
      </c>
      <c r="G6" s="75">
        <v>1.68</v>
      </c>
      <c r="H6" s="77">
        <v>-3.5000000000000003E-2</v>
      </c>
    </row>
    <row r="7" spans="1:8" ht="27" x14ac:dyDescent="0.45">
      <c r="A7" s="75" t="s">
        <v>217</v>
      </c>
      <c r="B7" s="75">
        <v>288.48</v>
      </c>
      <c r="C7" s="78">
        <v>37.81</v>
      </c>
      <c r="D7" s="78">
        <v>47.44</v>
      </c>
      <c r="E7" s="78">
        <v>13.95</v>
      </c>
      <c r="F7" s="76">
        <v>0.498</v>
      </c>
      <c r="G7" s="75">
        <v>1.78</v>
      </c>
      <c r="H7" s="77">
        <v>0.221</v>
      </c>
    </row>
    <row r="8" spans="1:8" x14ac:dyDescent="0.45">
      <c r="A8" s="75" t="s">
        <v>216</v>
      </c>
      <c r="B8" s="75">
        <v>189.14</v>
      </c>
      <c r="C8" s="78">
        <v>32.159999999999997</v>
      </c>
      <c r="D8" s="78">
        <v>42.01</v>
      </c>
      <c r="E8" s="78">
        <v>14.91</v>
      </c>
      <c r="F8" s="76">
        <v>0.61570000000000003</v>
      </c>
      <c r="G8" s="75">
        <v>1.46</v>
      </c>
      <c r="H8" s="77">
        <v>7.1999999999999995E-2</v>
      </c>
    </row>
    <row r="10" spans="1:8" x14ac:dyDescent="0.45">
      <c r="A10" s="11"/>
    </row>
    <row r="11" spans="1:8" x14ac:dyDescent="0.45">
      <c r="A11" s="79" t="s">
        <v>218</v>
      </c>
      <c r="B11">
        <f>MEDIAN(B6:B9)</f>
        <v>255.98</v>
      </c>
      <c r="C11">
        <f t="shared" ref="C11:H11" si="0">MEDIAN(C6:C9)</f>
        <v>32.159999999999997</v>
      </c>
      <c r="D11">
        <f t="shared" si="0"/>
        <v>42.01</v>
      </c>
      <c r="E11">
        <f t="shared" si="0"/>
        <v>13.95</v>
      </c>
      <c r="F11">
        <f t="shared" si="0"/>
        <v>0.498</v>
      </c>
      <c r="G11">
        <f t="shared" si="0"/>
        <v>1.68</v>
      </c>
      <c r="H11">
        <f t="shared" si="0"/>
        <v>7.1999999999999995E-2</v>
      </c>
    </row>
    <row r="12" spans="1:8" x14ac:dyDescent="0.45">
      <c r="A12" s="79" t="s">
        <v>219</v>
      </c>
      <c r="B12">
        <f>AVERAGE(B6:B9)</f>
        <v>244.53333333333333</v>
      </c>
      <c r="C12">
        <f t="shared" ref="C12:H12" si="1">AVERAGE(C6:C9)</f>
        <v>31.826666666666668</v>
      </c>
      <c r="D12">
        <f t="shared" si="1"/>
        <v>42.23</v>
      </c>
      <c r="E12">
        <f t="shared" si="1"/>
        <v>12.61</v>
      </c>
      <c r="F12">
        <f t="shared" si="1"/>
        <v>0.53346666666666664</v>
      </c>
      <c r="G12">
        <f t="shared" si="1"/>
        <v>1.64</v>
      </c>
      <c r="H12">
        <f t="shared" si="1"/>
        <v>8.6000000000000007E-2</v>
      </c>
    </row>
    <row r="14" spans="1:8" x14ac:dyDescent="0.45">
      <c r="A14" s="80" t="s">
        <v>220</v>
      </c>
      <c r="B14" s="10">
        <f>(B5/B11)-1</f>
        <v>1.1318071724353467</v>
      </c>
      <c r="C14" s="10">
        <f t="shared" ref="C14:H14" si="2">(C5/C11)-1</f>
        <v>0.18566734753263781</v>
      </c>
      <c r="D14" s="10">
        <f t="shared" si="2"/>
        <v>0.15353487264936927</v>
      </c>
      <c r="E14" s="10">
        <f t="shared" si="2"/>
        <v>-6.4516129032258229E-3</v>
      </c>
      <c r="F14" s="10">
        <f t="shared" si="2"/>
        <v>0.14457831325301185</v>
      </c>
      <c r="G14" s="10">
        <f t="shared" si="2"/>
        <v>-0.1964285714285714</v>
      </c>
      <c r="H14" s="10">
        <f t="shared" si="2"/>
        <v>-0.31944444444444442</v>
      </c>
    </row>
    <row r="17" spans="1:3" ht="15.75" x14ac:dyDescent="0.5">
      <c r="A17" s="21" t="s">
        <v>221</v>
      </c>
    </row>
    <row r="18" spans="1:3" x14ac:dyDescent="0.45">
      <c r="A18" t="s">
        <v>222</v>
      </c>
      <c r="C18" s="13">
        <f>'Historical Financials'!F11</f>
        <v>12327</v>
      </c>
    </row>
    <row r="19" spans="1:3" x14ac:dyDescent="0.45">
      <c r="A19" t="s">
        <v>223</v>
      </c>
      <c r="C19" s="13">
        <f>C18*C11</f>
        <v>396436.31999999995</v>
      </c>
    </row>
    <row r="20" spans="1:3" x14ac:dyDescent="0.45">
      <c r="A20" t="s">
        <v>224</v>
      </c>
      <c r="C20" s="13">
        <f>C19+'Historical Financials'!F19-'Historical Financials'!F20</f>
        <v>378397.31999999995</v>
      </c>
    </row>
    <row r="21" spans="1:3" x14ac:dyDescent="0.45">
      <c r="A21" t="s">
        <v>225</v>
      </c>
      <c r="C21" s="81">
        <f>C20/'DCF Calculation'!D39</f>
        <v>974.87394048692511</v>
      </c>
    </row>
    <row r="23" spans="1:3" x14ac:dyDescent="0.45">
      <c r="A23" t="s">
        <v>226</v>
      </c>
      <c r="C23" s="81">
        <f>'DCF Calculation'!D42</f>
        <v>1204</v>
      </c>
    </row>
    <row r="24" spans="1:3" x14ac:dyDescent="0.45">
      <c r="A24" t="s">
        <v>227</v>
      </c>
      <c r="C24" s="81">
        <f>C21</f>
        <v>974.87394048692511</v>
      </c>
    </row>
    <row r="25" spans="1:3" x14ac:dyDescent="0.45">
      <c r="A25" s="1" t="s">
        <v>228</v>
      </c>
      <c r="C25" s="25">
        <f>(C24-C23)/C23</f>
        <v>-0.19030403614042765</v>
      </c>
    </row>
    <row r="37" spans="1:12" x14ac:dyDescent="0.45"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</row>
    <row r="38" spans="1:12" x14ac:dyDescent="0.45">
      <c r="A38" s="94"/>
      <c r="B38" s="30"/>
      <c r="C38" s="53"/>
      <c r="D38" s="30"/>
      <c r="E38" s="30"/>
      <c r="F38" s="30"/>
      <c r="G38" s="30"/>
      <c r="H38" s="30"/>
      <c r="I38" s="30"/>
      <c r="J38" s="30"/>
      <c r="K38" s="30"/>
      <c r="L38" s="30"/>
    </row>
    <row r="39" spans="1:12" x14ac:dyDescent="0.45">
      <c r="A39" s="94"/>
      <c r="B39" s="30"/>
      <c r="C39" s="53"/>
      <c r="D39" s="30"/>
      <c r="E39" s="30"/>
      <c r="F39" s="30"/>
      <c r="G39" s="30"/>
      <c r="H39" s="30"/>
      <c r="I39" s="30"/>
      <c r="J39" s="30"/>
      <c r="K39" s="30"/>
      <c r="L39" s="30"/>
    </row>
    <row r="40" spans="1:12" x14ac:dyDescent="0.45">
      <c r="A40" s="94"/>
      <c r="B40" s="30"/>
      <c r="C40" s="53"/>
      <c r="D40" s="30"/>
      <c r="E40" s="30"/>
      <c r="F40" s="30"/>
      <c r="G40" s="30"/>
      <c r="H40" s="30"/>
      <c r="I40" s="30"/>
      <c r="J40" s="30"/>
      <c r="K40" s="30"/>
      <c r="L40" s="30"/>
    </row>
    <row r="41" spans="1:12" x14ac:dyDescent="0.45">
      <c r="A41" s="94"/>
      <c r="B41" s="30"/>
      <c r="C41" s="53"/>
      <c r="D41" s="30"/>
      <c r="E41" s="30"/>
      <c r="F41" s="30"/>
      <c r="G41" s="30"/>
      <c r="H41" s="30"/>
      <c r="I41" s="30"/>
      <c r="J41" s="30"/>
      <c r="K41" s="30"/>
      <c r="L41" s="30"/>
    </row>
    <row r="42" spans="1:12" x14ac:dyDescent="0.45">
      <c r="A42" s="94"/>
      <c r="B42" s="30"/>
      <c r="C42" s="53"/>
      <c r="D42" s="30"/>
      <c r="E42" s="30"/>
      <c r="F42" s="30"/>
      <c r="G42" s="30"/>
      <c r="H42" s="30"/>
      <c r="I42" s="30"/>
      <c r="J42" s="30"/>
      <c r="K42" s="30"/>
      <c r="L42" s="30"/>
    </row>
    <row r="43" spans="1:12" x14ac:dyDescent="0.45">
      <c r="A43" s="94"/>
      <c r="B43" s="30"/>
      <c r="C43" s="53"/>
      <c r="D43" s="30"/>
      <c r="E43" s="30"/>
      <c r="F43" s="30"/>
      <c r="G43" s="30"/>
      <c r="H43" s="30"/>
      <c r="I43" s="30"/>
      <c r="J43" s="30"/>
      <c r="K43" s="30"/>
      <c r="L43" s="30"/>
    </row>
    <row r="44" spans="1:12" x14ac:dyDescent="0.45">
      <c r="A44" s="94"/>
      <c r="B44" s="30"/>
      <c r="C44" s="53"/>
      <c r="D44" s="30"/>
      <c r="E44" s="30"/>
      <c r="F44" s="30"/>
      <c r="G44" s="30"/>
      <c r="H44" s="30"/>
      <c r="I44" s="30"/>
      <c r="J44" s="30"/>
      <c r="K44" s="30"/>
      <c r="L44" s="30"/>
    </row>
    <row r="45" spans="1:12" x14ac:dyDescent="0.45">
      <c r="A45" s="94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</row>
    <row r="46" spans="1:12" x14ac:dyDescent="0.45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</row>
  </sheetData>
  <mergeCells count="2">
    <mergeCell ref="A1:H1"/>
    <mergeCell ref="A2:F2"/>
  </mergeCells>
  <conditionalFormatting sqref="B14:H1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5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77DC3-9E0D-4F3B-8BF0-DC67B2C8ACD4}">
  <dimension ref="A1:P35"/>
  <sheetViews>
    <sheetView showGridLines="0" zoomScale="85" workbookViewId="0">
      <selection activeCell="A16" sqref="A16"/>
    </sheetView>
  </sheetViews>
  <sheetFormatPr defaultRowHeight="13.5" x14ac:dyDescent="0.35"/>
  <cols>
    <col min="1" max="1" width="16.9296875" style="30" customWidth="1"/>
    <col min="2" max="2" width="15.53125" style="30" bestFit="1" customWidth="1"/>
    <col min="3" max="14" width="9.06640625" style="30"/>
    <col min="15" max="15" width="30.1328125" style="30" bestFit="1" customWidth="1"/>
    <col min="16" max="16384" width="9.06640625" style="30"/>
  </cols>
  <sheetData>
    <row r="1" spans="1:16" ht="17.649999999999999" x14ac:dyDescent="0.5">
      <c r="A1" s="106" t="s">
        <v>229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</row>
    <row r="2" spans="1:16" ht="13.9" x14ac:dyDescent="0.4">
      <c r="A2" s="107" t="s">
        <v>230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</row>
    <row r="4" spans="1:16" x14ac:dyDescent="0.35">
      <c r="B4" s="30" t="s">
        <v>7</v>
      </c>
    </row>
    <row r="5" spans="1:16" ht="13.9" x14ac:dyDescent="0.35">
      <c r="A5" s="30" t="s">
        <v>256</v>
      </c>
      <c r="B5" s="93">
        <v>0.08</v>
      </c>
      <c r="C5" s="93">
        <v>8.5000000000000006E-2</v>
      </c>
      <c r="D5" s="93">
        <v>0.09</v>
      </c>
      <c r="E5" s="93">
        <v>9.5000000000000001E-2</v>
      </c>
      <c r="F5" s="93">
        <v>0.1</v>
      </c>
      <c r="G5" s="93">
        <v>0.105</v>
      </c>
      <c r="H5" s="93">
        <v>0.11</v>
      </c>
      <c r="I5" s="93">
        <v>0.115</v>
      </c>
      <c r="J5" s="93">
        <v>0.12</v>
      </c>
      <c r="K5" s="93">
        <v>0.125</v>
      </c>
      <c r="L5" s="93">
        <v>0.13</v>
      </c>
    </row>
    <row r="6" spans="1:16" ht="14.25" x14ac:dyDescent="0.45">
      <c r="A6" s="109">
        <v>1.4999999999999999E-2</v>
      </c>
      <c r="B6" s="100">
        <v>548.07043897478923</v>
      </c>
      <c r="C6" s="100">
        <v>499.29923929195138</v>
      </c>
      <c r="D6" s="100">
        <v>457.19365564274392</v>
      </c>
      <c r="E6" s="100">
        <v>420.49826300589103</v>
      </c>
      <c r="F6" s="100">
        <v>388.25326188868985</v>
      </c>
      <c r="G6" s="100">
        <v>359.71234929033352</v>
      </c>
      <c r="H6" s="100">
        <v>334.28652571358651</v>
      </c>
      <c r="I6" s="100">
        <v>311.50476057590458</v>
      </c>
      <c r="J6" s="100">
        <v>290.98589652499868</v>
      </c>
      <c r="K6" s="100">
        <v>272.41821661834007</v>
      </c>
      <c r="L6" s="110">
        <v>255.54434216781601</v>
      </c>
      <c r="O6" s="30" t="s">
        <v>7</v>
      </c>
      <c r="P6" s="23">
        <f>WACC!C36</f>
        <v>9.1742223778499096E-2</v>
      </c>
    </row>
    <row r="7" spans="1:16" ht="14.25" x14ac:dyDescent="0.45">
      <c r="A7" s="109">
        <v>0.02</v>
      </c>
      <c r="B7" s="100">
        <v>581.61227070716711</v>
      </c>
      <c r="C7" s="108">
        <v>526.87872364380462</v>
      </c>
      <c r="D7" s="108">
        <v>480.12700027278368</v>
      </c>
      <c r="E7" s="100">
        <v>439.75518447583244</v>
      </c>
      <c r="F7" s="100">
        <v>404.56206550565622</v>
      </c>
      <c r="G7" s="100">
        <v>373.62927295064043</v>
      </c>
      <c r="H7" s="100">
        <v>346.24270058743986</v>
      </c>
      <c r="I7" s="100">
        <v>321.83874423737564</v>
      </c>
      <c r="J7" s="100">
        <v>299.96666869803948</v>
      </c>
      <c r="K7" s="100">
        <v>280.26172736742188</v>
      </c>
      <c r="L7" s="100">
        <v>262.42561322758627</v>
      </c>
      <c r="O7" s="30" t="s">
        <v>256</v>
      </c>
      <c r="P7">
        <f>'DCF Calculation'!B20</f>
        <v>2.5000000000000001E-2</v>
      </c>
    </row>
    <row r="8" spans="1:16" ht="13.9" x14ac:dyDescent="0.4">
      <c r="A8" s="109">
        <v>2.5000000000000001E-2</v>
      </c>
      <c r="B8" s="100">
        <v>621.25261729997703</v>
      </c>
      <c r="C8" s="101">
        <v>559.05478872096637</v>
      </c>
      <c r="D8" s="100">
        <v>506.58855176898328</v>
      </c>
      <c r="E8" s="110">
        <v>461.7630947271939</v>
      </c>
      <c r="F8" s="100">
        <v>423.04537627155133</v>
      </c>
      <c r="G8" s="100">
        <v>389.28581206848554</v>
      </c>
      <c r="H8" s="100">
        <v>359.60548426998179</v>
      </c>
      <c r="I8" s="100">
        <v>333.32094830567667</v>
      </c>
      <c r="J8" s="100">
        <v>309.89278531034745</v>
      </c>
      <c r="K8" s="100">
        <v>288.88958919141169</v>
      </c>
      <c r="L8" s="100">
        <v>269.96224343590603</v>
      </c>
      <c r="O8" s="30" t="s">
        <v>297</v>
      </c>
      <c r="P8" s="30">
        <v>490.18991297267303</v>
      </c>
    </row>
    <row r="9" spans="1:16" ht="13.9" x14ac:dyDescent="0.35">
      <c r="A9" s="109">
        <v>0.03</v>
      </c>
      <c r="B9" s="100">
        <v>668.82103321134923</v>
      </c>
      <c r="C9" s="101">
        <v>597.08104744852142</v>
      </c>
      <c r="D9" s="100">
        <v>537.46036184788295</v>
      </c>
      <c r="E9" s="100">
        <v>487.1568373249188</v>
      </c>
      <c r="F9" s="100">
        <v>444.16916000400289</v>
      </c>
      <c r="G9" s="100">
        <v>407.0298897353768</v>
      </c>
      <c r="H9" s="100">
        <v>374.63861591284143</v>
      </c>
      <c r="I9" s="100">
        <v>346.15399991142499</v>
      </c>
      <c r="J9" s="100">
        <v>320.92180376846761</v>
      </c>
      <c r="K9" s="100">
        <v>298.42564699687426</v>
      </c>
      <c r="L9" s="100">
        <v>278.25253666505773</v>
      </c>
    </row>
    <row r="10" spans="1:16" ht="13.9" x14ac:dyDescent="0.35">
      <c r="A10" s="109">
        <v>3.5000000000000003E-2</v>
      </c>
      <c r="B10" s="100">
        <v>726.96020821413731</v>
      </c>
      <c r="C10" s="101">
        <v>642.7125579215874</v>
      </c>
      <c r="D10" s="100">
        <v>573.94522830476433</v>
      </c>
      <c r="E10" s="100">
        <v>516.78287035559788</v>
      </c>
      <c r="F10" s="100">
        <v>468.54275661837016</v>
      </c>
      <c r="G10" s="100">
        <v>427.30883564039527</v>
      </c>
      <c r="H10" s="100">
        <v>391.67616510808244</v>
      </c>
      <c r="I10" s="100">
        <v>360.59118296789183</v>
      </c>
      <c r="J10" s="100">
        <v>333.24835380989589</v>
      </c>
      <c r="K10" s="100">
        <v>309.02126678072153</v>
      </c>
      <c r="L10" s="100">
        <v>287.41549233938332</v>
      </c>
    </row>
    <row r="11" spans="1:16" ht="13.9" x14ac:dyDescent="0.35">
      <c r="A11" s="109">
        <v>0.04</v>
      </c>
      <c r="B11" s="100">
        <v>799.63417696762269</v>
      </c>
      <c r="C11" s="101">
        <v>698.48440405533483</v>
      </c>
      <c r="D11" s="100">
        <v>617.72706805302187</v>
      </c>
      <c r="E11" s="100">
        <v>551.79545484640039</v>
      </c>
      <c r="F11" s="100">
        <v>496.97861933513195</v>
      </c>
      <c r="G11" s="100">
        <v>450.70761937695499</v>
      </c>
      <c r="H11" s="100">
        <v>411.14764990264354</v>
      </c>
      <c r="I11" s="100">
        <v>376.95332376522094</v>
      </c>
      <c r="J11" s="100">
        <v>347.11572260650291</v>
      </c>
      <c r="K11" s="100">
        <v>320.86343006855088</v>
      </c>
      <c r="L11" s="100">
        <v>297.59655419974524</v>
      </c>
    </row>
    <row r="12" spans="1:16" ht="13.9" x14ac:dyDescent="0.35">
      <c r="A12" s="109">
        <v>4.4999999999999998E-2</v>
      </c>
      <c r="B12" s="100">
        <v>893.07213679353197</v>
      </c>
      <c r="C12" s="101">
        <v>768.19921172251884</v>
      </c>
      <c r="D12" s="100">
        <v>671.23820552311463</v>
      </c>
      <c r="E12" s="100">
        <v>593.81055623536326</v>
      </c>
      <c r="F12" s="100">
        <v>530.58463890948667</v>
      </c>
      <c r="G12" s="100">
        <v>478.00620040294143</v>
      </c>
      <c r="H12" s="100">
        <v>433.61474774252173</v>
      </c>
      <c r="I12" s="100">
        <v>395.65291324788262</v>
      </c>
      <c r="J12" s="100">
        <v>362.83207390932404</v>
      </c>
      <c r="K12" s="100">
        <v>334.18586376735874</v>
      </c>
      <c r="L12" s="100">
        <v>308.97538804367883</v>
      </c>
    </row>
    <row r="13" spans="1:16" ht="13.9" x14ac:dyDescent="0.4">
      <c r="A13" s="109">
        <v>0.05</v>
      </c>
      <c r="B13" s="110">
        <v>1017.656083228078</v>
      </c>
      <c r="C13" s="101">
        <v>857.83253586604144</v>
      </c>
      <c r="D13" s="100">
        <v>738.1271273607307</v>
      </c>
      <c r="E13" s="100">
        <v>645.1623468218736</v>
      </c>
      <c r="F13" s="100">
        <v>570.91186239871263</v>
      </c>
      <c r="G13" s="100">
        <v>510.26815979728912</v>
      </c>
      <c r="H13" s="100">
        <v>459.82636188904638</v>
      </c>
      <c r="I13" s="100">
        <v>417.22936265095399</v>
      </c>
      <c r="J13" s="100">
        <v>380.79361825540536</v>
      </c>
      <c r="K13" s="100">
        <v>349.28462195934117</v>
      </c>
      <c r="L13" s="100">
        <v>321.7765761181044</v>
      </c>
    </row>
    <row r="14" spans="1:16" x14ac:dyDescent="0.35">
      <c r="C14" s="53"/>
    </row>
    <row r="15" spans="1:16" ht="13.9" x14ac:dyDescent="0.4">
      <c r="A15" s="95" t="s">
        <v>308</v>
      </c>
      <c r="C15" s="53"/>
    </row>
    <row r="16" spans="1:16" x14ac:dyDescent="0.35">
      <c r="A16" s="96" t="s">
        <v>290</v>
      </c>
      <c r="C16" s="53"/>
    </row>
    <row r="17" spans="1:12" x14ac:dyDescent="0.35">
      <c r="C17" s="53"/>
    </row>
    <row r="18" spans="1:12" x14ac:dyDescent="0.35">
      <c r="C18" s="53"/>
    </row>
    <row r="19" spans="1:12" ht="15" x14ac:dyDescent="0.4">
      <c r="A19" s="28" t="s">
        <v>291</v>
      </c>
    </row>
    <row r="20" spans="1:12" ht="13.9" x14ac:dyDescent="0.4">
      <c r="A20" s="30" t="s">
        <v>298</v>
      </c>
      <c r="C20" s="97"/>
    </row>
    <row r="21" spans="1:12" x14ac:dyDescent="0.35">
      <c r="A21" s="30" t="s">
        <v>299</v>
      </c>
    </row>
    <row r="22" spans="1:12" ht="13.9" x14ac:dyDescent="0.4">
      <c r="A22" s="30" t="s">
        <v>300</v>
      </c>
      <c r="C22" s="97"/>
    </row>
    <row r="23" spans="1:12" x14ac:dyDescent="0.35">
      <c r="A23" s="30" t="s">
        <v>301</v>
      </c>
    </row>
    <row r="26" spans="1:12" ht="13.9" x14ac:dyDescent="0.35">
      <c r="D26" s="54"/>
    </row>
    <row r="27" spans="1:12" ht="14.25" x14ac:dyDescent="0.45">
      <c r="A27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</row>
    <row r="28" spans="1:12" ht="13.9" x14ac:dyDescent="0.35">
      <c r="A28" s="94"/>
      <c r="C28" s="53"/>
    </row>
    <row r="29" spans="1:12" ht="13.9" x14ac:dyDescent="0.35">
      <c r="A29" s="94"/>
      <c r="C29" s="53"/>
    </row>
    <row r="30" spans="1:12" ht="13.9" x14ac:dyDescent="0.35">
      <c r="A30" s="94"/>
      <c r="C30" s="53"/>
    </row>
    <row r="31" spans="1:12" ht="13.9" x14ac:dyDescent="0.35">
      <c r="A31" s="94"/>
      <c r="C31" s="53"/>
    </row>
    <row r="32" spans="1:12" ht="13.9" x14ac:dyDescent="0.35">
      <c r="A32" s="94"/>
      <c r="C32" s="53"/>
    </row>
    <row r="33" spans="1:3" ht="13.9" x14ac:dyDescent="0.35">
      <c r="A33" s="94"/>
      <c r="C33" s="53"/>
    </row>
    <row r="34" spans="1:3" ht="13.9" x14ac:dyDescent="0.35">
      <c r="A34" s="94"/>
      <c r="C34" s="53"/>
    </row>
    <row r="35" spans="1:3" ht="13.9" x14ac:dyDescent="0.35">
      <c r="A35" s="94"/>
    </row>
  </sheetData>
  <mergeCells count="2">
    <mergeCell ref="A1:L1"/>
    <mergeCell ref="A2:L2"/>
  </mergeCells>
  <conditionalFormatting sqref="B6:L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AA42D-E5B1-4D53-BE2F-E43C1DDCB2FF}">
  <dimension ref="A1:D42"/>
  <sheetViews>
    <sheetView showGridLines="0" topLeftCell="A8" workbookViewId="0">
      <selection activeCell="B22" sqref="B22"/>
    </sheetView>
  </sheetViews>
  <sheetFormatPr defaultRowHeight="14.25" x14ac:dyDescent="0.45"/>
  <cols>
    <col min="1" max="1" width="39.3984375" bestFit="1" customWidth="1"/>
    <col min="2" max="2" width="27.265625" customWidth="1"/>
    <col min="3" max="3" width="53" customWidth="1"/>
  </cols>
  <sheetData>
    <row r="1" spans="1:4" ht="18" x14ac:dyDescent="0.55000000000000004">
      <c r="A1" s="2" t="s">
        <v>231</v>
      </c>
    </row>
    <row r="3" spans="1:4" x14ac:dyDescent="0.45">
      <c r="A3" s="83" t="s">
        <v>233</v>
      </c>
      <c r="B3" s="83" t="s">
        <v>4</v>
      </c>
      <c r="C3" s="83" t="s">
        <v>232</v>
      </c>
    </row>
    <row r="4" spans="1:4" x14ac:dyDescent="0.45">
      <c r="A4" s="11" t="s">
        <v>281</v>
      </c>
      <c r="B4" s="87" t="s">
        <v>289</v>
      </c>
      <c r="C4" s="87" t="s">
        <v>280</v>
      </c>
      <c r="D4" s="52"/>
    </row>
    <row r="5" spans="1:4" x14ac:dyDescent="0.45">
      <c r="A5" s="11" t="s">
        <v>282</v>
      </c>
      <c r="B5" s="87" t="s">
        <v>234</v>
      </c>
      <c r="C5" s="87" t="s">
        <v>235</v>
      </c>
    </row>
    <row r="6" spans="1:4" x14ac:dyDescent="0.45">
      <c r="A6" s="11" t="s">
        <v>283</v>
      </c>
      <c r="B6" s="87" t="s">
        <v>236</v>
      </c>
      <c r="C6" s="87" t="s">
        <v>237</v>
      </c>
    </row>
    <row r="7" spans="1:4" x14ac:dyDescent="0.45">
      <c r="A7" s="11" t="s">
        <v>284</v>
      </c>
      <c r="B7" s="87" t="s">
        <v>238</v>
      </c>
      <c r="C7" s="87" t="s">
        <v>239</v>
      </c>
    </row>
    <row r="8" spans="1:4" x14ac:dyDescent="0.45">
      <c r="A8" s="11" t="s">
        <v>211</v>
      </c>
      <c r="B8" s="88">
        <v>0.56999999999999995</v>
      </c>
      <c r="C8" s="87" t="s">
        <v>240</v>
      </c>
    </row>
    <row r="9" spans="1:4" x14ac:dyDescent="0.45">
      <c r="A9" s="11" t="s">
        <v>241</v>
      </c>
      <c r="B9" s="89">
        <v>0.375</v>
      </c>
      <c r="C9" s="87" t="s">
        <v>242</v>
      </c>
    </row>
    <row r="10" spans="1:4" x14ac:dyDescent="0.45">
      <c r="A10" s="11" t="s">
        <v>8</v>
      </c>
      <c r="B10" s="88">
        <v>0.25</v>
      </c>
      <c r="C10" s="87" t="s">
        <v>243</v>
      </c>
    </row>
    <row r="11" spans="1:4" x14ac:dyDescent="0.45">
      <c r="A11" s="11" t="s">
        <v>122</v>
      </c>
      <c r="B11" s="88">
        <v>0.09</v>
      </c>
      <c r="C11" s="87" t="s">
        <v>240</v>
      </c>
    </row>
    <row r="12" spans="1:4" x14ac:dyDescent="0.45">
      <c r="A12" s="11" t="s">
        <v>124</v>
      </c>
      <c r="B12" s="88">
        <v>0.15</v>
      </c>
      <c r="C12" s="87" t="s">
        <v>244</v>
      </c>
    </row>
    <row r="13" spans="1:4" x14ac:dyDescent="0.45">
      <c r="A13" s="11" t="s">
        <v>245</v>
      </c>
      <c r="B13" s="88">
        <v>0.03</v>
      </c>
      <c r="C13" s="87" t="s">
        <v>246</v>
      </c>
    </row>
    <row r="14" spans="1:4" x14ac:dyDescent="0.45">
      <c r="A14" s="11" t="s">
        <v>247</v>
      </c>
      <c r="B14" s="89">
        <v>4.2500000000000003E-2</v>
      </c>
      <c r="C14" s="87" t="s">
        <v>286</v>
      </c>
    </row>
    <row r="15" spans="1:4" x14ac:dyDescent="0.45">
      <c r="A15" s="11" t="s">
        <v>212</v>
      </c>
      <c r="B15" s="87">
        <v>1.35</v>
      </c>
      <c r="C15" s="87" t="s">
        <v>248</v>
      </c>
    </row>
    <row r="16" spans="1:4" x14ac:dyDescent="0.45">
      <c r="A16" s="11" t="s">
        <v>249</v>
      </c>
      <c r="B16" s="89">
        <v>6.5000000000000002E-2</v>
      </c>
      <c r="C16" s="87" t="s">
        <v>250</v>
      </c>
    </row>
    <row r="17" spans="1:3" x14ac:dyDescent="0.45">
      <c r="A17" s="11" t="s">
        <v>251</v>
      </c>
      <c r="B17" s="89">
        <v>0.13300000000000001</v>
      </c>
      <c r="C17" s="87" t="s">
        <v>252</v>
      </c>
    </row>
    <row r="18" spans="1:3" x14ac:dyDescent="0.45">
      <c r="A18" s="11" t="s">
        <v>253</v>
      </c>
      <c r="B18" s="89">
        <v>2.5000000000000001E-2</v>
      </c>
      <c r="C18" s="87" t="s">
        <v>254</v>
      </c>
    </row>
    <row r="19" spans="1:3" x14ac:dyDescent="0.45">
      <c r="A19" s="11" t="s">
        <v>7</v>
      </c>
      <c r="B19" s="89">
        <f>WACC!C36</f>
        <v>9.1742223778499096E-2</v>
      </c>
      <c r="C19" s="87" t="s">
        <v>255</v>
      </c>
    </row>
    <row r="20" spans="1:3" x14ac:dyDescent="0.45">
      <c r="A20" s="11" t="s">
        <v>256</v>
      </c>
      <c r="B20" s="89">
        <v>2.5000000000000001E-2</v>
      </c>
      <c r="C20" s="87" t="s">
        <v>257</v>
      </c>
    </row>
    <row r="21" spans="1:3" x14ac:dyDescent="0.45">
      <c r="A21" s="11" t="s">
        <v>258</v>
      </c>
      <c r="B21" s="90">
        <v>1204</v>
      </c>
      <c r="C21" s="87" t="s">
        <v>285</v>
      </c>
    </row>
    <row r="22" spans="1:3" x14ac:dyDescent="0.45">
      <c r="A22" s="11" t="s">
        <v>259</v>
      </c>
      <c r="B22" s="87" t="s">
        <v>287</v>
      </c>
      <c r="C22" s="87" t="s">
        <v>260</v>
      </c>
    </row>
    <row r="23" spans="1:3" x14ac:dyDescent="0.45">
      <c r="A23" s="11"/>
    </row>
    <row r="25" spans="1:3" ht="15.75" x14ac:dyDescent="0.5">
      <c r="A25" s="85" t="s">
        <v>261</v>
      </c>
    </row>
    <row r="26" spans="1:3" x14ac:dyDescent="0.45">
      <c r="A26" s="74" t="s">
        <v>232</v>
      </c>
      <c r="B26" s="74" t="s">
        <v>262</v>
      </c>
      <c r="C26" s="91"/>
    </row>
    <row r="27" spans="1:3" x14ac:dyDescent="0.45">
      <c r="A27" s="11" t="s">
        <v>263</v>
      </c>
      <c r="B27" s="11" t="s">
        <v>288</v>
      </c>
    </row>
    <row r="28" spans="1:3" x14ac:dyDescent="0.45">
      <c r="A28" s="11" t="s">
        <v>264</v>
      </c>
      <c r="B28" s="11" t="s">
        <v>265</v>
      </c>
    </row>
    <row r="29" spans="1:3" x14ac:dyDescent="0.45">
      <c r="A29" s="11" t="s">
        <v>279</v>
      </c>
      <c r="B29" s="11" t="s">
        <v>266</v>
      </c>
    </row>
    <row r="30" spans="1:3" x14ac:dyDescent="0.45">
      <c r="A30" s="11" t="s">
        <v>267</v>
      </c>
      <c r="B30" s="11" t="s">
        <v>268</v>
      </c>
    </row>
    <row r="31" spans="1:3" x14ac:dyDescent="0.45">
      <c r="A31" s="11" t="s">
        <v>269</v>
      </c>
      <c r="B31" s="11" t="s">
        <v>278</v>
      </c>
    </row>
    <row r="33" spans="1:3" ht="15.75" x14ac:dyDescent="0.45">
      <c r="A33" s="86" t="s">
        <v>275</v>
      </c>
    </row>
    <row r="34" spans="1:3" x14ac:dyDescent="0.45">
      <c r="A34" s="74" t="s">
        <v>233</v>
      </c>
      <c r="B34" s="74" t="s">
        <v>4</v>
      </c>
      <c r="C34" s="91"/>
    </row>
    <row r="35" spans="1:3" x14ac:dyDescent="0.45">
      <c r="A35" s="11" t="s">
        <v>270</v>
      </c>
      <c r="B35" s="92">
        <v>46267</v>
      </c>
    </row>
    <row r="36" spans="1:3" x14ac:dyDescent="0.45">
      <c r="A36" s="11" t="s">
        <v>271</v>
      </c>
      <c r="B36" s="87">
        <v>3</v>
      </c>
    </row>
    <row r="37" spans="1:3" x14ac:dyDescent="0.45">
      <c r="A37" s="11" t="s">
        <v>272</v>
      </c>
      <c r="B37" s="87" t="s">
        <v>277</v>
      </c>
    </row>
    <row r="38" spans="1:3" x14ac:dyDescent="0.45">
      <c r="A38" s="11" t="s">
        <v>273</v>
      </c>
      <c r="B38" s="92">
        <v>46267</v>
      </c>
    </row>
    <row r="39" spans="1:3" x14ac:dyDescent="0.45">
      <c r="A39" s="11" t="s">
        <v>274</v>
      </c>
      <c r="B39" s="87" t="s">
        <v>276</v>
      </c>
    </row>
    <row r="40" spans="1:3" x14ac:dyDescent="0.45">
      <c r="A40" s="11"/>
    </row>
    <row r="41" spans="1:3" x14ac:dyDescent="0.45">
      <c r="A41" s="11"/>
    </row>
    <row r="42" spans="1:3" x14ac:dyDescent="0.45">
      <c r="A42" s="1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9EF461-3BB0-4110-B412-5D548947D9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Historical Financials</vt:lpstr>
      <vt:lpstr>DCF Calculation</vt:lpstr>
      <vt:lpstr>Projections</vt:lpstr>
      <vt:lpstr>WACC</vt:lpstr>
      <vt:lpstr>Comparables</vt:lpstr>
      <vt:lpstr>Sensitivity</vt:lpstr>
      <vt:lpstr>Data &amp; 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Vanderzypen</dc:creator>
  <cp:lastModifiedBy>Stanley Vanderzypen</cp:lastModifiedBy>
  <dcterms:created xsi:type="dcterms:W3CDTF">2026-02-07T10:39:41Z</dcterms:created>
  <dcterms:modified xsi:type="dcterms:W3CDTF">2026-02-10T10:10:18Z</dcterms:modified>
</cp:coreProperties>
</file>